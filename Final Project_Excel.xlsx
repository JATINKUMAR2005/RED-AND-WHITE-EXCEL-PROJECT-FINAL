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Jatin\Downloads\"/>
    </mc:Choice>
  </mc:AlternateContent>
  <xr:revisionPtr revIDLastSave="0" documentId="13_ncr:1_{2B743F65-2853-4D34-B76E-37338DE8E682}" xr6:coauthVersionLast="47" xr6:coauthVersionMax="47" xr10:uidLastSave="{00000000-0000-0000-0000-000000000000}"/>
  <bookViews>
    <workbookView xWindow="-108" yWindow="-108" windowWidth="23256" windowHeight="12456" tabRatio="933" activeTab="3" xr2:uid="{00000000-000D-0000-FFFF-FFFF00000000}"/>
  </bookViews>
  <sheets>
    <sheet name="Project Instructions" sheetId="1" r:id="rId1"/>
    <sheet name="Dashboard" sheetId="9" r:id="rId2"/>
    <sheet name="Final Project Dataset" sheetId="2" r:id="rId3"/>
    <sheet name="Top 5 customer" sheetId="13" r:id="rId4"/>
    <sheet name="Category" sheetId="6" r:id="rId5"/>
    <sheet name="Date" sheetId="7" r:id="rId6"/>
    <sheet name="Region" sheetId="10" r:id="rId7"/>
    <sheet name="Linear Regression" sheetId="11" r:id="rId8"/>
    <sheet name="Scenario Summary" sheetId="12" r:id="rId9"/>
    <sheet name="Customer_Segment" sheetId="3" r:id="rId10"/>
    <sheet name="Product_Name" sheetId="5" r:id="rId11"/>
  </sheets>
  <definedNames>
    <definedName name="Slicer_Category">#N/A</definedName>
    <definedName name="Slicer_Customer_Segment">#N/A</definedName>
    <definedName name="Slicer_Months__Date">#N/A</definedName>
    <definedName name="Slicer_Product_Name">#N/A</definedName>
    <definedName name="Slicer_Region">#N/A</definedName>
    <definedName name="Slicer_Years__Date">#N/A</definedName>
  </definedNames>
  <calcPr calcId="191029" iterate="1" iterateCount="1"/>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V13" i="2" l="1"/>
  <c r="V12" i="2"/>
  <c r="W13" i="2"/>
  <c r="V24" i="2"/>
  <c r="V23" i="2"/>
  <c r="V22" i="2"/>
  <c r="V21" i="2"/>
  <c r="V20" i="2"/>
  <c r="V19" i="2"/>
  <c r="V18"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W29" i="2"/>
  <c r="V29" i="2" a="1"/>
  <c r="V29" i="2" s="1"/>
  <c r="A2" i="13" l="1" a="1"/>
  <c r="V27" i="2"/>
  <c r="W14" i="2"/>
  <c r="W15" i="2"/>
  <c r="W16" i="2"/>
  <c r="W17" i="2"/>
  <c r="W18" i="2"/>
  <c r="W19" i="2"/>
  <c r="W20" i="2"/>
  <c r="W21" i="2"/>
  <c r="W22" i="2"/>
  <c r="W23" i="2"/>
  <c r="W24" i="2"/>
  <c r="V17" i="2"/>
  <c r="V16" i="2"/>
  <c r="V15" i="2"/>
  <c r="V14" i="2"/>
  <c r="A2" i="13" l="1"/>
  <c r="B2" i="13" a="1"/>
  <c r="B2" i="13" s="1"/>
  <c r="E8" i="13" l="1"/>
  <c r="F8" i="13" s="1"/>
  <c r="E11" i="13"/>
  <c r="F11" i="13" s="1"/>
  <c r="E7" i="13"/>
  <c r="F7" i="13" s="1"/>
  <c r="E4" i="13"/>
  <c r="F4" i="13" s="1"/>
  <c r="E9" i="13"/>
  <c r="F9" i="13" s="1"/>
  <c r="E12" i="13"/>
  <c r="F12" i="13" s="1"/>
  <c r="E5" i="13"/>
  <c r="F5" i="13" s="1"/>
  <c r="E6" i="13"/>
  <c r="F6" i="13" s="1"/>
  <c r="E10" i="13"/>
  <c r="F10" i="13" s="1"/>
  <c r="E3" i="13"/>
  <c r="F3" i="13" s="1"/>
  <c r="V33" i="2" s="1"/>
  <c r="U3" i="2" a="1"/>
  <c r="U3" i="2" s="1"/>
  <c r="P2" i="2" l="1"/>
  <c r="R2" i="2" a="1"/>
  <c r="R2" i="2" s="1"/>
  <c r="S2" i="2" s="1" a="1"/>
  <c r="S2" i="2" s="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a="1"/>
  <c r="O2" i="2" s="1"/>
  <c r="N6" i="7"/>
  <c r="T4" i="9" l="1"/>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H8" i="2"/>
  <c r="AG8" i="2"/>
  <c r="AF8" i="2"/>
  <c r="AE8" i="2"/>
  <c r="AD8" i="2"/>
  <c r="AC8" i="2"/>
  <c r="AB8" i="2"/>
  <c r="AA8" i="2"/>
  <c r="Z8" i="2"/>
  <c r="Y8" i="2"/>
  <c r="X8" i="2"/>
  <c r="W8" i="2"/>
  <c r="V8" i="2"/>
  <c r="U8" i="2"/>
  <c r="AH7" i="2"/>
  <c r="AG7" i="2"/>
  <c r="AF7" i="2"/>
  <c r="AE7" i="2"/>
  <c r="AD7" i="2"/>
  <c r="AC7" i="2"/>
  <c r="AB7" i="2"/>
  <c r="AA7" i="2"/>
  <c r="Z7" i="2"/>
  <c r="Y7" i="2"/>
  <c r="X7" i="2"/>
  <c r="W7" i="2"/>
  <c r="V7" i="2"/>
  <c r="U7" i="2"/>
  <c r="AH6" i="2"/>
  <c r="AG6" i="2"/>
  <c r="AF6" i="2"/>
  <c r="AE6" i="2"/>
  <c r="AD6" i="2"/>
  <c r="AC6" i="2"/>
  <c r="AB6" i="2"/>
  <c r="AA6" i="2"/>
  <c r="Z6" i="2"/>
  <c r="Y6" i="2"/>
  <c r="X6" i="2"/>
  <c r="W6" i="2"/>
  <c r="V6" i="2"/>
  <c r="U6" i="2"/>
  <c r="AH5" i="2"/>
  <c r="AG5" i="2"/>
  <c r="AF5" i="2"/>
  <c r="AE5" i="2"/>
  <c r="AD5" i="2"/>
  <c r="AC5" i="2"/>
  <c r="AB5" i="2"/>
  <c r="AA5" i="2"/>
  <c r="Z5" i="2"/>
  <c r="Y5" i="2"/>
  <c r="X5" i="2"/>
  <c r="W5" i="2"/>
  <c r="V5" i="2"/>
  <c r="U5" i="2"/>
  <c r="AH4" i="2"/>
  <c r="AG4" i="2"/>
  <c r="AF4" i="2"/>
  <c r="AE4" i="2"/>
  <c r="AD4" i="2"/>
  <c r="AC4" i="2"/>
  <c r="AB4" i="2"/>
  <c r="AA4" i="2"/>
  <c r="Z4" i="2"/>
  <c r="Y4" i="2"/>
  <c r="X4" i="2"/>
  <c r="W4" i="2"/>
  <c r="V4" i="2"/>
  <c r="U4" i="2"/>
  <c r="AH3" i="2"/>
  <c r="AG3" i="2"/>
  <c r="AF3" i="2"/>
  <c r="AE3" i="2"/>
  <c r="AD3" i="2"/>
  <c r="AC3" i="2"/>
  <c r="AB3" i="2"/>
  <c r="AA3" i="2"/>
  <c r="Z3" i="2"/>
  <c r="Y3" i="2"/>
  <c r="X3" i="2"/>
  <c r="W3" i="2"/>
  <c r="V3"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<sst xmlns="http://schemas.openxmlformats.org/spreadsheetml/2006/main" count="2392" uniqueCount="484">
  <si>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</si>
  <si>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</si>
  <si>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</si>
  <si>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</si>
  <si>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</si>
  <si>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</si>
  <si>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</si>
  <si>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</si>
  <si>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</si>
  <si>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</si>
  <si>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</si>
  <si>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</si>
  <si>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</si>
  <si>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</si>
  <si>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</si>
  <si>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</si>
  <si>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</si>
  <si>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</si>
  <si>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</si>
  <si>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</si>
  <si>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</si>
  <si>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</si>
  <si>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</si>
  <si>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</si>
  <si>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</si>
  <si>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</si>
  <si>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</si>
  <si>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</si>
  <si>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</si>
  <si>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</si>
  <si>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</si>
  <si>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</si>
  <si>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</si>
  <si>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</si>
  <si>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</si>
  <si>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</si>
  <si>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</si>
  <si>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</si>
  <si>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</si>
  <si>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</si>
  <si>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</si>
  <si>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</si>
  <si>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</si>
  <si>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</si>
  <si>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</si>
  <si>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</si>
  <si>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</si>
  <si>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</si>
  <si>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</si>
  <si>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</si>
  <si>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</si>
  <si>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</si>
  <si>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</si>
  <si>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</si>
  <si>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</si>
  <si>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</si>
  <si>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</si>
  <si>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</si>
  <si>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</si>
  <si>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</si>
  <si>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</si>
  <si>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</si>
  <si>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</si>
  <si>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</si>
  <si>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</si>
  <si>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</si>
  <si>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</si>
  <si>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</si>
  <si>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</si>
  <si>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</si>
  <si>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</si>
  <si>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</si>
  <si>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</si>
  <si>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</si>
  <si>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</si>
  <si>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</si>
  <si>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</si>
  <si>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</si>
  <si>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</si>
  <si>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</si>
  <si>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</si>
  <si>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</si>
  <si>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</si>
  <si>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</si>
  <si>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</si>
  <si>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</si>
  <si>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</si>
  <si>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</si>
  <si>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</si>
  <si>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</si>
  <si>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</si>
  <si>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</si>
  <si>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</si>
  <si>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</si>
  <si>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</si>
  <si>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</si>
  <si>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</si>
  <si>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</si>
  <si>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</si>
  <si>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</si>
  <si>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</si>
  <si>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</si>
  <si>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</si>
  <si>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</si>
  <si>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</si>
  <si>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</si>
  <si>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</si>
  <si>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</si>
  <si>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</si>
  <si>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</si>
  <si>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</si>
  <si>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</si>
  <si>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</si>
  <si>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</si>
  <si>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</si>
  <si>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</si>
  <si>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</si>
  <si>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</si>
  <si>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</si>
  <si>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</si>
  <si>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</si>
  <si>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</si>
  <si>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</si>
  <si>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</si>
  <si>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</si>
  <si>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</si>
  <si>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</si>
  <si>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</si>
  <si>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</si>
  <si>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</si>
  <si>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</si>
  <si>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</si>
  <si>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</si>
  <si>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</si>
  <si>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</si>
  <si>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</si>
  <si>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</si>
  <si>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</si>
  <si>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</si>
  <si>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</si>
  <si>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</si>
  <si>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</si>
  <si>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</si>
  <si>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</si>
  <si>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</si>
  <si>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</si>
  <si>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</si>
  <si>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</si>
  <si>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</si>
  <si>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</si>
  <si>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</si>
  <si>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</si>
  <si>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</si>
  <si>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</si>
  <si>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</si>
  <si>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</si>
  <si>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</si>
  <si>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</si>
  <si>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</si>
  <si>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</si>
  <si>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</si>
  <si>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</si>
  <si>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</si>
  <si>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</si>
  <si>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</si>
  <si>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</si>
  <si>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</si>
  <si>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</si>
  <si>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</si>
  <si>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</si>
  <si>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</si>
  <si>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</si>
  <si>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</si>
  <si>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</si>
  <si>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</si>
  <si>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</si>
  <si>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</si>
  <si>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</si>
  <si>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</si>
  <si>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</si>
  <si>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</si>
  <si>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</si>
  <si>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</si>
  <si>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</si>
  <si>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</si>
  <si>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</si>
  <si>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</si>
  <si>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</si>
  <si>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</si>
  <si>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</si>
  <si>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</si>
  <si>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</si>
  <si>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</si>
  <si>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</si>
  <si>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</si>
  <si>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</si>
  <si>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</si>
  <si>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</si>
  <si>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</si>
  <si>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</si>
  <si>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</si>
  <si>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</si>
  <si>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</si>
  <si>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</si>
  <si>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</si>
  <si>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</si>
  <si>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</si>
  <si>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</si>
  <si>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</si>
  <si>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</si>
  <si>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</si>
  <si>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</si>
  <si>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</si>
  <si>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</si>
  <si>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</si>
  <si>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</si>
  <si>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</si>
  <si>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</si>
  <si>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</si>
  <si>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</si>
  <si>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</si>
  <si>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</si>
  <si>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</si>
  <si>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</si>
  <si>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</si>
  <si>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</si>
  <si>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</si>
  <si>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</si>
  <si>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</si>
  <si>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</si>
  <si>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</si>
  <si>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</si>
  <si>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</si>
  <si>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</si>
  <si>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</si>
  <si>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</si>
  <si>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</si>
  <si>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</si>
  <si>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</si>
  <si>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</si>
  <si>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</si>
  <si>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</si>
  <si>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</si>
  <si>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</si>
  <si>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</si>
  <si>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</si>
  <si>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</si>
  <si>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</si>
  <si>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</si>
  <si>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</si>
  <si>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</si>
  <si>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</si>
  <si>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</si>
  <si>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</si>
  <si>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</si>
  <si>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</si>
  <si>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</si>
  <si>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</si>
  <si>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</si>
  <si>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</si>
  <si>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</si>
  <si>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</si>
  <si>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</si>
  <si>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</si>
  <si>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</si>
  <si>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</si>
  <si>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</si>
  <si>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</si>
  <si>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</si>
  <si>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</si>
  <si>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</si>
  <si>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</si>
  <si>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</si>
  <si>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</si>
  <si>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</si>
  <si>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</si>
  <si>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</si>
  <si>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</si>
  <si>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</si>
  <si>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</si>
  <si>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</si>
  <si>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</si>
  <si>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</si>
  <si>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</si>
  <si>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</si>
  <si>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</si>
  <si>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</si>
  <si>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</si>
  <si>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</si>
  <si>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</si>
  <si>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</si>
  <si>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</si>
  <si>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</si>
  <si>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</si>
  <si>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</si>
  <si>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</si>
  <si>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</si>
  <si>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</si>
  <si>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</si>
  <si>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</si>
  <si>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</si>
  <si>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</si>
  <si>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</si>
  <si>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</si>
  <si>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</si>
  <si>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</si>
  <si>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</si>
  <si>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</si>
  <si>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</si>
  <si>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</si>
  <si>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</si>
  <si>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</si>
  <si>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</si>
  <si>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</si>
  <si>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</si>
  <si>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</si>
  <si>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</si>
  <si>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</si>
  <si>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</si>
  <si>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</si>
  <si>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</si>
  <si>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</si>
  <si>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</si>
  <si>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</si>
  <si>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</si>
  <si>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</si>
  <si>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</si>
  <si>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</si>
  <si>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</si>
  <si>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</si>
  <si>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</si>
  <si>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</si>
  <si>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</si>
  <si>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</si>
  <si>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</si>
  <si>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</si>
  <si>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</si>
  <si>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</si>
  <si>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</si>
  <si>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</si>
  <si>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</si>
  <si>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</si>
  <si>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</si>
  <si>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</si>
  <si>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</si>
  <si>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</si>
  <si>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</si>
  <si>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</si>
  <si>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</si>
  <si>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</si>
  <si>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</si>
  <si>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</si>
  <si>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</si>
  <si>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</si>
  <si>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</si>
  <si>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</si>
  <si>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</si>
  <si>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</si>
  <si>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</si>
  <si>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</si>
  <si>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</si>
  <si>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</si>
  <si>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</si>
  <si>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</si>
  <si>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</si>
  <si>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</si>
  <si>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</si>
  <si>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</si>
  <si>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</si>
  <si>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</si>
  <si>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</si>
  <si>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</si>
  <si>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</si>
  <si>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</si>
  <si>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</si>
  <si>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</si>
  <si>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</si>
  <si>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</si>
  <si>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</si>
  <si>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</si>
  <si>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</si>
  <si>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</si>
  <si>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</si>
  <si>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</si>
  <si>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</si>
  <si>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</si>
  <si>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</si>
  <si>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</si>
  <si>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</si>
  <si>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</si>
  <si>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</si>
  <si>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</si>
  <si>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</si>
  <si>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</si>
  <si>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</si>
  <si>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</si>
  <si>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</si>
  <si>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</si>
  <si>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</si>
  <si>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</si>
  <si>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 xml:space="preserve"> 
Deliverable:
- Well-structured workbook with multiple sheets (Raw Data, Analysis, Visualizations, Dashboard)
- Summary Insights with key metrics: Total Revenue, Top Customers, Most Sold Products, Regional Sales
- Use of all required formulas and functions as listed above</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</si>
  <si>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</si>
  <si>
    <t>Row Labels</t>
  </si>
  <si>
    <t>Grand Total</t>
  </si>
  <si>
    <t>Sum of Total_Amount</t>
  </si>
  <si>
    <t>2024</t>
  </si>
  <si>
    <t>2025</t>
  </si>
  <si>
    <t>Apr</t>
  </si>
  <si>
    <t>May</t>
  </si>
  <si>
    <t>Jun</t>
  </si>
  <si>
    <t>Jul</t>
  </si>
  <si>
    <t>Aug</t>
  </si>
  <si>
    <t>Sep</t>
  </si>
  <si>
    <t>Oct</t>
  </si>
  <si>
    <t>Nov</t>
  </si>
  <si>
    <t>Dec</t>
  </si>
  <si>
    <t>Jan</t>
  </si>
  <si>
    <t>Feb</t>
  </si>
  <si>
    <t>Mar</t>
  </si>
  <si>
    <t>Date_Different</t>
  </si>
  <si>
    <t>Timestamp</t>
  </si>
  <si>
    <t>Unique_Cust_ID</t>
  </si>
  <si>
    <t>Total Revenue per customer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</si>
  <si>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</si>
  <si>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</si>
  <si>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</si>
  <si>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</si>
  <si>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</si>
  <si>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</si>
  <si>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</si>
  <si>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</si>
  <si>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</si>
  <si>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</si>
  <si>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</si>
  <si>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</si>
  <si>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</si>
  <si>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</si>
  <si>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</si>
  <si>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</si>
  <si>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</si>
  <si>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</si>
  <si>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</si>
  <si>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</si>
  <si>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</si>
  <si>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</si>
  <si>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</si>
  <si>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</si>
  <si>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FILTER FUNCTION</t>
  </si>
  <si>
    <t>Conditional Formatting</t>
  </si>
  <si>
    <t>Month</t>
  </si>
  <si>
    <t>Sales_Growth</t>
  </si>
  <si>
    <t>2024-04</t>
  </si>
  <si>
    <t>2024-05</t>
  </si>
  <si>
    <t>2024-06</t>
  </si>
  <si>
    <t>2024-07</t>
  </si>
  <si>
    <t>2024-08</t>
  </si>
  <si>
    <t>2024-09</t>
  </si>
  <si>
    <t>2024-10</t>
  </si>
  <si>
    <t>2024-11</t>
  </si>
  <si>
    <t>2024-12</t>
  </si>
  <si>
    <t>2025-01</t>
  </si>
  <si>
    <t>2025-02</t>
  </si>
  <si>
    <t>2025-03</t>
  </si>
  <si>
    <t>2025-04</t>
  </si>
  <si>
    <t>-</t>
  </si>
  <si>
    <t>$Y$12</t>
  </si>
  <si>
    <t>High Sales</t>
  </si>
  <si>
    <t>Created by KRISHA PATEL on 15-12-2025</t>
  </si>
  <si>
    <t>Low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</si>
  <si>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</si>
  <si>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</si>
  <si>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</si>
  <si>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</si>
  <si>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</si>
  <si>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</si>
  <si>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</si>
  <si>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t>
  </si>
  <si>
    <t>RANK</t>
  </si>
  <si>
    <t>TOP REVENUE</t>
  </si>
  <si>
    <t>Transaction</t>
  </si>
  <si>
    <t>Sales of Company</t>
  </si>
  <si>
    <t>Top Selling Product</t>
  </si>
  <si>
    <t>Compare 2 list</t>
  </si>
  <si>
    <t>Abbreviations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</si>
</sst>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 #,##0.00"/>
    <numFmt numFmtId="166" formatCode="[$$-1009]#,##0"/>
    <numFmt numFmtId="167" formatCode="[$$-1009]#,##0.00"/>
  </numFmts>
  <fonts count="20"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i/>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4"/>
      <color theme="6" tint="0.59999389629810485"/>
      <name val="Calibri"/>
      <family val="2"/>
      <scheme val="minor"/>
    </font>
    <font>
      <sz val="24"/>
      <color rgb="FF00B050"/>
      <name val="Calibri"/>
      <family val="2"/>
      <scheme val="minor"/>
    </font>
    <font>
      <b/>
      <sz val="14"/>
      <color theme="6" tint="0.59999389629810485"/>
      <name val="Calibri"/>
      <family val="2"/>
      <scheme val="minor"/>
    </font>
  </fonts>
  <fills count="15">
    <fill>
      <patternFill patternType="none"/>
    </fill>
    <fill>
      <patternFill patternType="gray125"/>
    </fill>
    <fill>
      <patternFill patternType="solid">
        <fgColor rgb="FFFFF2CC"/>
        <bgColor rgb="FFFFF2CC"/>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49998474074526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61">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4"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6" fillId="0" borderId="0" xfId="0" applyFont="1" applyAlignment="1">
      <alignment horizontal="center" vertical="center"/>
    </xf>
    <xf numFmtId="0" fontId="0" fillId="0" borderId="0" xfId="0" applyAlignment="1">
      <alignment horizontal="center" vertical="center"/>
    </xf>
    <xf numFmtId="0" fontId="9" fillId="7" borderId="5" xfId="0" applyFont="1" applyFill="1" applyBorder="1" applyAlignment="1">
      <alignment horizontal="center" vertical="center"/>
    </xf>
    <xf numFmtId="0" fontId="9" fillId="0" borderId="0" xfId="0" applyFont="1"/>
    <xf numFmtId="166" fontId="0" fillId="0" borderId="0" xfId="0" applyNumberFormat="1"/>
    <xf numFmtId="0" fontId="5" fillId="0" borderId="1" xfId="0" applyFont="1" applyBorder="1" applyAlignment="1">
      <alignment wrapText="1"/>
    </xf>
    <xf numFmtId="0" fontId="6" fillId="0" borderId="5" xfId="0" applyFont="1" applyBorder="1" applyAlignment="1">
      <alignment horizontal="center" vertical="center"/>
    </xf>
    <xf numFmtId="0" fontId="9" fillId="0" borderId="5" xfId="0" applyFont="1" applyBorder="1" applyAlignment="1">
      <alignment horizontal="center" vertical="center"/>
    </xf>
    <xf numFmtId="0" fontId="4" fillId="0" borderId="5" xfId="0" applyFont="1" applyBorder="1" applyAlignment="1">
      <alignment horizontal="center" vertical="center"/>
    </xf>
    <xf numFmtId="164" fontId="4" fillId="0" borderId="5" xfId="0" applyNumberFormat="1" applyFont="1" applyBorder="1" applyAlignment="1">
      <alignment horizontal="center" vertical="center"/>
    </xf>
    <xf numFmtId="0" fontId="0" fillId="0" borderId="5" xfId="0" applyBorder="1" applyAlignment="1">
      <alignment horizontal="center" vertical="center"/>
    </xf>
    <xf numFmtId="0" fontId="2" fillId="0" borderId="5" xfId="0" applyFont="1" applyBorder="1" applyAlignment="1">
      <alignment horizontal="center" vertical="center"/>
    </xf>
    <xf numFmtId="0" fontId="0" fillId="6" borderId="5" xfId="0" applyFill="1" applyBorder="1" applyAlignment="1">
      <alignment horizontal="center" vertical="center"/>
    </xf>
    <xf numFmtId="0" fontId="2" fillId="6" borderId="5" xfId="0" applyFont="1" applyFill="1" applyBorder="1" applyAlignment="1">
      <alignment horizontal="center" vertical="center"/>
    </xf>
    <xf numFmtId="10" fontId="0" fillId="6" borderId="5" xfId="1" applyNumberFormat="1" applyFont="1" applyFill="1" applyBorder="1" applyAlignment="1">
      <alignment horizontal="center" vertical="center"/>
    </xf>
    <xf numFmtId="0" fontId="2" fillId="5" borderId="5" xfId="0" applyFont="1" applyFill="1" applyBorder="1" applyAlignment="1">
      <alignment horizontal="center" vertical="center"/>
    </xf>
    <xf numFmtId="0" fontId="0" fillId="5" borderId="5" xfId="0" applyFill="1" applyBorder="1" applyAlignment="1">
      <alignment horizontal="center" vertical="center"/>
    </xf>
    <xf numFmtId="165" fontId="0" fillId="3" borderId="5" xfId="0" applyNumberFormat="1" applyFill="1" applyBorder="1" applyAlignment="1">
      <alignment horizontal="center" vertical="center"/>
    </xf>
    <xf numFmtId="0" fontId="0" fillId="0" borderId="5" xfId="0" applyBorder="1"/>
    <xf numFmtId="0" fontId="10" fillId="7" borderId="3" xfId="0" applyFont="1" applyFill="1" applyBorder="1" applyAlignment="1">
      <alignment horizontal="centerContinuous"/>
    </xf>
    <xf numFmtId="0" fontId="10" fillId="7" borderId="4" xfId="0" applyFont="1" applyFill="1" applyBorder="1" applyAlignment="1">
      <alignment horizontal="centerContinuous"/>
    </xf>
    <xf numFmtId="0" fontId="0" fillId="4" borderId="7" xfId="0" applyFill="1" applyBorder="1"/>
    <xf numFmtId="0" fontId="0" fillId="4" borderId="8" xfId="0" applyFill="1" applyBorder="1"/>
    <xf numFmtId="0" fontId="0" fillId="4" borderId="9" xfId="0" applyFill="1" applyBorder="1"/>
    <xf numFmtId="0" fontId="0" fillId="4" borderId="10" xfId="0" applyFill="1" applyBorder="1"/>
    <xf numFmtId="0" fontId="10" fillId="7" borderId="3" xfId="0" applyFont="1" applyFill="1" applyBorder="1" applyAlignment="1">
      <alignment horizontal="center"/>
    </xf>
    <xf numFmtId="0" fontId="10" fillId="7" borderId="2" xfId="0" applyFont="1" applyFill="1" applyBorder="1" applyAlignment="1">
      <alignment horizontal="center"/>
    </xf>
    <xf numFmtId="0" fontId="10" fillId="7" borderId="4" xfId="0" applyFont="1" applyFill="1" applyBorder="1" applyAlignment="1">
      <alignment horizontal="center"/>
    </xf>
    <xf numFmtId="0" fontId="0" fillId="4" borderId="0" xfId="0" applyFill="1"/>
    <xf numFmtId="0" fontId="0" fillId="4" borderId="6" xfId="0" applyFill="1" applyBorder="1"/>
    <xf numFmtId="0" fontId="12" fillId="8" borderId="5" xfId="0" applyFont="1" applyFill="1" applyBorder="1" applyAlignment="1">
      <alignment horizontal="left"/>
    </xf>
    <xf numFmtId="0" fontId="15" fillId="8" borderId="5" xfId="0" applyFont="1" applyFill="1" applyBorder="1" applyAlignment="1">
      <alignment horizontal="right"/>
    </xf>
    <xf numFmtId="0" fontId="13" fillId="9" borderId="5" xfId="0" applyFont="1" applyFill="1" applyBorder="1" applyAlignment="1">
      <alignment horizontal="left"/>
    </xf>
    <xf numFmtId="0" fontId="16" fillId="0" borderId="5" xfId="0" applyFont="1" applyBorder="1" applyAlignment="1">
      <alignment vertical="top" wrapText="1"/>
    </xf>
    <xf numFmtId="0" fontId="14" fillId="9" borderId="5" xfId="0" applyFont="1" applyFill="1" applyBorder="1" applyAlignment="1">
      <alignment horizontal="left"/>
    </xf>
    <xf numFmtId="0" fontId="0" fillId="10" borderId="5" xfId="0" applyFill="1" applyBorder="1"/>
    <xf numFmtId="0" fontId="6" fillId="11" borderId="5" xfId="0" applyFont="1" applyFill="1" applyBorder="1" applyAlignment="1">
      <alignment horizontal="center" vertical="center"/>
    </xf>
    <xf numFmtId="0" fontId="0" fillId="12" borderId="5" xfId="0" applyFill="1" applyBorder="1" applyAlignment="1">
      <alignment horizontal="center" vertical="center"/>
    </xf>
    <xf numFmtId="22" fontId="0" fillId="12" borderId="5" xfId="0" applyNumberFormat="1" applyFill="1" applyBorder="1" applyAlignment="1">
      <alignment horizontal="center" vertical="center"/>
    </xf>
    <xf numFmtId="0" fontId="9" fillId="11" borderId="0" xfId="0" applyFont="1" applyFill="1" applyAlignment="1">
      <alignment horizontal="center" vertical="center"/>
    </xf>
    <xf numFmtId="0" fontId="0" fillId="13" borderId="5" xfId="0" applyFill="1" applyBorder="1" applyAlignment="1">
      <alignment horizontal="center" vertical="center"/>
    </xf>
    <xf numFmtId="14" fontId="0" fillId="13" borderId="5" xfId="0" applyNumberFormat="1" applyFill="1" applyBorder="1" applyAlignment="1">
      <alignment horizontal="center" vertical="center"/>
    </xf>
    <xf numFmtId="0" fontId="2" fillId="13" borderId="5" xfId="0" applyFont="1" applyFill="1" applyBorder="1" applyAlignment="1">
      <alignment horizontal="center" vertical="center"/>
    </xf>
    <xf numFmtId="0" fontId="1" fillId="13" borderId="5"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4" xfId="0" applyFont="1" applyFill="1" applyBorder="1" applyAlignment="1">
      <alignment horizontal="center" vertical="center"/>
    </xf>
    <xf numFmtId="0" fontId="0" fillId="5" borderId="3" xfId="0" applyFill="1" applyBorder="1" applyAlignment="1">
      <alignment horizontal="center"/>
    </xf>
    <xf numFmtId="0" fontId="0" fillId="5" borderId="4" xfId="0" applyFill="1" applyBorder="1" applyAlignment="1">
      <alignment horizontal="center"/>
    </xf>
    <xf numFmtId="0" fontId="0" fillId="14" borderId="0" xfId="0" applyFill="1"/>
    <xf numFmtId="167" fontId="18" fillId="14" borderId="0" xfId="0" applyNumberFormat="1" applyFont="1" applyFill="1" applyAlignment="1">
      <alignment horizontal="center" vertical="center"/>
    </xf>
    <xf numFmtId="0" fontId="19" fillId="14" borderId="0" xfId="0" applyFont="1" applyFill="1" applyAlignment="1">
      <alignment horizontal="center" vertical="center"/>
    </xf>
    <xf numFmtId="0" fontId="17" fillId="14" borderId="0" xfId="0" applyFont="1" applyFill="1" applyAlignment="1">
      <alignment horizontal="center" vertical="center"/>
    </xf>
  </cellXfs>
  <cellStyles count="2">
    <cellStyle name="Normal" xfId="0" builtinId="0"/>
    <cellStyle name="Percent" xfId="1" builtinId="5"/>
  </cellStyles>
  <dxfs count="4">
    <dxf>
      <font>
        <color rgb="FF9C0006"/>
      </font>
      <fill>
        <patternFill>
          <bgColor rgb="FFFFC7CE"/>
        </patternFill>
      </fill>
    </dxf>
    <dxf>
      <numFmt numFmtId="165" formatCode="&quot;₹&quot;\ #,##0.00"/>
    </dxf>
    <dxf>
      <fill>
        <patternFill patternType="none">
          <bgColor auto="1"/>
        </patternFill>
      </fill>
    </dxf>
    <dxf>
      <font>
        <color theme="0"/>
      </font>
      <fill>
        <patternFill patternType="solid">
          <bgColor theme="1" tint="0.34998626667073579"/>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69ADD495-A092-451A-91D8-490EA2EA9755}">
      <tableStyleElement type="wholeTable" dxfId="3"/>
      <tableStyleElement type="headerRow" dxfId="2"/>
    </tableStyle>
  </tableStyles>
  <colors>
    <mruColors>
      <color rgb="FFC9D620"/>
    </mruColors>
  </colors>
  <extLst>
    <ext xmlns:x14="http://schemas.microsoft.com/office/spreadsheetml/2009/9/main" uri="{46F421CA-312F-682f-3DD2-61675219B42D}">
      <x14:dxfs count="3">
        <dxf>
          <fill>
            <patternFill>
              <bgColor theme="2" tint="-0.14996795556505021"/>
            </patternFill>
          </fill>
        </dxf>
        <dxf>
          <fill>
            <patternFill>
              <bgColor theme="1"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Project_Excel.xlsx]Category!PivotTable4</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4.3264660410599315E-2"/>
              <c:y val="-4.7061893426112444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30399453493"/>
                  <c:h val="0.23399194286760663"/>
                </c:manualLayout>
              </c15:layout>
            </c:ext>
          </c:extLst>
        </c:dLbl>
      </c:pivotFmt>
      <c:pivotFmt>
        <c:idx val="10"/>
        <c:spPr>
          <a:solidFill>
            <a:schemeClr val="accent4">
              <a:lumMod val="75000"/>
            </a:schemeClr>
          </a:solidFill>
          <a:ln>
            <a:noFill/>
          </a:ln>
          <a:effectLst>
            <a:outerShdw blurRad="317500" algn="ctr" rotWithShape="0">
              <a:prstClr val="black">
                <a:alpha val="25000"/>
              </a:prstClr>
            </a:outerShdw>
          </a:effectLst>
        </c:spPr>
        <c:dLbl>
          <c:idx val="0"/>
          <c:layout>
            <c:manualLayout>
              <c:x val="0.11270928462709284"/>
              <c:y val="7.4074379268482898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20637831230001"/>
                  <c:h val="0.28050357077458338"/>
                </c:manualLayout>
              </c15:layout>
            </c:ext>
          </c:extLst>
        </c:dLbl>
      </c:pivotFmt>
      <c:pivotFmt>
        <c:idx val="11"/>
        <c:spPr>
          <a:solidFill>
            <a:schemeClr val="accent2">
              <a:lumMod val="60000"/>
              <a:lumOff val="4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3359508143673821"/>
          <c:y val="0.28548304392414525"/>
          <c:w val="0.49067054974292595"/>
          <c:h val="0.83299884026124638"/>
        </c:manualLayout>
      </c:layout>
      <c:doughnutChart>
        <c:varyColors val="1"/>
        <c:ser>
          <c:idx val="0"/>
          <c:order val="0"/>
          <c:tx>
            <c:strRef>
              <c:f>Category!$G$3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74-4DB3-87D7-651F329160B8}"/>
              </c:ext>
            </c:extLst>
          </c:dPt>
          <c:dPt>
            <c:idx val="1"/>
            <c:bubble3D val="0"/>
            <c:spPr>
              <a:solidFill>
                <a:schemeClr val="accent4">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74-4DB3-87D7-651F329160B8}"/>
              </c:ext>
            </c:extLst>
          </c:dPt>
          <c:dPt>
            <c:idx val="2"/>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274-4DB3-87D7-651F329160B8}"/>
              </c:ext>
            </c:extLst>
          </c:dPt>
          <c:dLbls>
            <c:dLbl>
              <c:idx val="0"/>
              <c:layout>
                <c:manualLayout>
                  <c:x val="4.3264660410599315E-2"/>
                  <c:y val="-4.7061893426112444E-2"/>
                </c:manualLayout>
              </c:layout>
              <c:showLegendKey val="0"/>
              <c:showVal val="0"/>
              <c:showCatName val="1"/>
              <c:showSerName val="0"/>
              <c:showPercent val="1"/>
              <c:showBubbleSize val="0"/>
              <c:extLst>
                <c:ext xmlns:c15="http://schemas.microsoft.com/office/drawing/2012/chart" uri="{CE6537A1-D6FC-4f65-9D91-7224C49458BB}">
                  <c15:layout>
                    <c:manualLayout>
                      <c:w val="0.2296530399453493"/>
                      <c:h val="0.23399194286760663"/>
                    </c:manualLayout>
                  </c15:layout>
                </c:ext>
                <c:ext xmlns:c16="http://schemas.microsoft.com/office/drawing/2014/chart" uri="{C3380CC4-5D6E-409C-BE32-E72D297353CC}">
                  <c16:uniqueId val="{00000001-2274-4DB3-87D7-651F329160B8}"/>
                </c:ext>
              </c:extLst>
            </c:dLbl>
            <c:dLbl>
              <c:idx val="1"/>
              <c:layout>
                <c:manualLayout>
                  <c:x val="0.11270928462709284"/>
                  <c:y val="7.4074379268482898E-2"/>
                </c:manualLayout>
              </c:layout>
              <c:showLegendKey val="0"/>
              <c:showVal val="0"/>
              <c:showCatName val="1"/>
              <c:showSerName val="0"/>
              <c:showPercent val="1"/>
              <c:showBubbleSize val="0"/>
              <c:extLst>
                <c:ext xmlns:c15="http://schemas.microsoft.com/office/drawing/2012/chart" uri="{CE6537A1-D6FC-4f65-9D91-7224C49458BB}">
                  <c15:layout>
                    <c:manualLayout>
                      <c:w val="0.23020637831230001"/>
                      <c:h val="0.28050357077458338"/>
                    </c:manualLayout>
                  </c15:layout>
                </c:ext>
                <c:ext xmlns:c16="http://schemas.microsoft.com/office/drawing/2014/chart" uri="{C3380CC4-5D6E-409C-BE32-E72D297353CC}">
                  <c16:uniqueId val="{00000003-2274-4DB3-87D7-651F329160B8}"/>
                </c:ext>
              </c:extLst>
            </c:dLbl>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2274-4DB3-87D7-651F329160B8}"/>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0974112824937985"/>
          <c:y val="1.187837861326937E-2"/>
          <c:w val="0.24759500952791855"/>
          <c:h val="0.29694758718300146"/>
        </c:manualLayout>
      </c:layout>
      <c:overlay val="0"/>
      <c:spPr>
        <a:solidFill>
          <a:schemeClr val="tx1">
            <a:lumMod val="75000"/>
            <a:lumOff val="25000"/>
            <a:alpha val="78000"/>
          </a:schemeClr>
        </a:solidFill>
        <a:ln>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Project_Excel.xlsx]Date!PivotTable5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0466232576335"/>
          <c:y val="0.20581706283579759"/>
          <c:w val="0.76709995444784274"/>
          <c:h val="0.61170159372711641"/>
        </c:manualLayout>
      </c:layout>
      <c:lineChart>
        <c:grouping val="standard"/>
        <c:varyColors val="0"/>
        <c:ser>
          <c:idx val="0"/>
          <c:order val="0"/>
          <c:tx>
            <c:strRef>
              <c:f>Date!$B$1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89D7-4188-B6F0-A73B0D46E825}"/>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Project_Excel.xlsx]Region!PivotTable1</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0822556838311"/>
          <c:y val="0.20533527576354624"/>
          <c:w val="0.75163826408902379"/>
          <c:h val="0.5462014276524837"/>
        </c:manualLayout>
      </c:layout>
      <c:barChart>
        <c:barDir val="col"/>
        <c:grouping val="clustered"/>
        <c:varyColors val="0"/>
        <c:ser>
          <c:idx val="0"/>
          <c:order val="0"/>
          <c:tx>
            <c:strRef>
              <c:f>Region!$B$1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D6E9-4171-961C-7DDABADF2988}"/>
            </c:ext>
          </c:extLst>
        </c:ser>
        <c:dLbls>
          <c:dLblPos val="outEnd"/>
          <c:showLegendKey val="0"/>
          <c:showVal val="1"/>
          <c:showCatName val="0"/>
          <c:showSerName val="0"/>
          <c:showPercent val="0"/>
          <c:showBubbleSize val="0"/>
        </c:dLbls>
        <c:gapWidth val="100"/>
        <c:overlap val="-24"/>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Project_Excel.xlsx]Customer_Segment!PivotTable1</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365129358830146E-2"/>
          <c:y val="0.25900992508386783"/>
          <c:w val="0.5396899137607799"/>
          <c:h val="0.62546844310024163"/>
        </c:manualLayout>
      </c:layout>
      <c:doughnutChart>
        <c:varyColors val="1"/>
        <c:ser>
          <c:idx val="0"/>
          <c:order val="0"/>
          <c:tx>
            <c:strRef>
              <c:f>Customer_Segment!$B$1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6DF-4DD1-A8EE-C64D309FB49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6DF-4DD1-A8EE-C64D309FB49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6DF-4DD1-A8EE-C64D309FB492}"/>
              </c:ext>
            </c:extLst>
          </c:dPt>
          <c:dLbls>
            <c:dLbl>
              <c:idx val="0"/>
              <c:layout>
                <c:manualLayout>
                  <c:x val="7.2222222222222118E-2"/>
                  <c:y val="-7.87037037037036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DF-4DD1-A8EE-C64D309FB492}"/>
                </c:ext>
              </c:extLst>
            </c:dLbl>
            <c:dLbl>
              <c:idx val="1"/>
              <c:layout>
                <c:manualLayout>
                  <c:x val="8.0555555555555561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DF-4DD1-A8EE-C64D309FB492}"/>
                </c:ext>
              </c:extLst>
            </c:dLbl>
            <c:dLbl>
              <c:idx val="2"/>
              <c:layout>
                <c:manualLayout>
                  <c:x val="-8.888888888888892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DF-4DD1-A8EE-C64D309FB492}"/>
                </c:ext>
              </c:extLst>
            </c:dLbl>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56DF-4DD1-A8EE-C64D309FB492}"/>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2447581552305951"/>
          <c:y val="1.9636369957066621E-2"/>
          <c:w val="0.26600037495313089"/>
          <c:h val="0.31225807638531167"/>
        </c:manualLayout>
      </c:layout>
      <c:overlay val="0"/>
      <c:spPr>
        <a:solidFill>
          <a:schemeClr val="tx1">
            <a:lumMod val="75000"/>
            <a:lumOff val="25000"/>
            <a:alpha val="78000"/>
          </a:schemeClr>
        </a:solidFill>
        <a:ln>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Project_Excel.xlsx]Product_Name!PivotTable3</c:name>
    <c:fmtId val="6"/>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22945293603008"/>
          <c:y val="6.1817168338907484E-2"/>
          <c:w val="0.64469211569142093"/>
          <c:h val="0.74206629271675484"/>
        </c:manualLayout>
      </c:layout>
      <c:barChart>
        <c:barDir val="bar"/>
        <c:grouping val="clustered"/>
        <c:varyColors val="0"/>
        <c:ser>
          <c:idx val="0"/>
          <c:order val="0"/>
          <c:tx>
            <c:strRef>
              <c:f>Product_Name!$B$1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4FBB-4B7D-90A5-73C47885B313}"/>
            </c:ext>
          </c:extLst>
        </c:ser>
        <c:dLbls>
          <c:dLblPos val="outEnd"/>
          <c:showLegendKey val="0"/>
          <c:showVal val="1"/>
          <c:showCatName val="0"/>
          <c:showSerName val="0"/>
          <c:showPercent val="0"/>
          <c:showBubbleSize val="0"/>
        </c:dLbls>
        <c:gapWidth val="182"/>
        <c:overlap val="-5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Project_Excel.xlsx]Category!PivotTable4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2.4999999999999949E-2"/>
              <c:y val="-0.11574074074074076"/>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9.4444444444444442E-2"/>
              <c:y val="7.407407407407407E-2"/>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0.11944444444444446"/>
              <c:y val="-6.9444444444444448E-2"/>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Category!$G$3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61C-46CD-84A6-72DF62871B4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1C-46CD-84A6-72DF62871B4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361C-46CD-84A6-72DF62871B43}"/>
              </c:ext>
            </c:extLst>
          </c:dPt>
          <c:dLbls>
            <c:dLbl>
              <c:idx val="0"/>
              <c:layout>
                <c:manualLayout>
                  <c:x val="2.4999999999999949E-2"/>
                  <c:y val="-0.11574074074074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61C-46CD-84A6-72DF62871B43}"/>
                </c:ext>
              </c:extLst>
            </c:dLbl>
            <c:dLbl>
              <c:idx val="1"/>
              <c:layout>
                <c:manualLayout>
                  <c:x val="9.4444444444444442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1C-46CD-84A6-72DF62871B43}"/>
                </c:ext>
              </c:extLst>
            </c:dLbl>
            <c:dLbl>
              <c:idx val="2"/>
              <c:layout>
                <c:manualLayout>
                  <c:x val="-0.11944444444444446"/>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61C-46CD-84A6-72DF62871B43}"/>
                </c:ext>
              </c:extLst>
            </c:dLbl>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61C-46CD-84A6-72DF62871B43}"/>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69541163604549427"/>
          <c:y val="0.40358705161854774"/>
          <c:w val="0.15458836395450568"/>
          <c:h val="0.23437664041994752"/>
        </c:manualLayout>
      </c:layout>
      <c:overlay val="0"/>
      <c:spPr>
        <a:solidFill>
          <a:schemeClr val="tx1">
            <a:lumMod val="65000"/>
            <a:lumOff val="35000"/>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Project_Excel.xlsx]Date!PivotTable5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D847-4973-9D80-C43A9F515C67}"/>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accent1">
                  <a:lumMod val="60000"/>
                  <a:lumOff val="40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Project_Excel.xlsx]Region!PivotTable1</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2D9-4DF1-822A-C6ED43A3A902}"/>
            </c:ext>
          </c:extLst>
        </c:ser>
        <c:dLbls>
          <c:dLblPos val="outEnd"/>
          <c:showLegendKey val="0"/>
          <c:showVal val="1"/>
          <c:showCatName val="0"/>
          <c:showSerName val="0"/>
          <c:showPercent val="0"/>
          <c:showBubbleSize val="0"/>
        </c:dLbls>
        <c:gapWidth val="315"/>
        <c:overlap val="-4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Project_Excel.xlsx]Customer_Segment!PivotTable1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Customer_Segment!$B$1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9209-40BB-BC27-1EA18B4FC65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9209-40BB-BC27-1EA18B4FC65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209-40BB-BC27-1EA18B4FC65F}"/>
              </c:ext>
            </c:extLst>
          </c:dPt>
          <c:dLbls>
            <c:dLbl>
              <c:idx val="0"/>
              <c:layout>
                <c:manualLayout>
                  <c:x val="7.2222222222222118E-2"/>
                  <c:y val="-7.87037037037036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209-40BB-BC27-1EA18B4FC65F}"/>
                </c:ext>
              </c:extLst>
            </c:dLbl>
            <c:dLbl>
              <c:idx val="1"/>
              <c:layout>
                <c:manualLayout>
                  <c:x val="8.0555555555555561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209-40BB-BC27-1EA18B4FC65F}"/>
                </c:ext>
              </c:extLst>
            </c:dLbl>
            <c:dLbl>
              <c:idx val="2"/>
              <c:layout>
                <c:manualLayout>
                  <c:x val="-8.888888888888892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09-40BB-BC27-1EA18B4FC65F}"/>
                </c:ext>
              </c:extLst>
            </c:dLbl>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9209-40BB-BC27-1EA18B4FC65F}"/>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4352340332458444"/>
          <c:y val="0.42673519976669583"/>
          <c:w val="0.13703215223097112"/>
          <c:h val="0.23437664041994752"/>
        </c:manualLayout>
      </c:layout>
      <c:overlay val="0"/>
      <c:spPr>
        <a:solidFill>
          <a:schemeClr val="tx1">
            <a:lumMod val="65000"/>
            <a:lumOff val="35000"/>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Project_Excel.xlsx]Product_Name!PivotTable3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Product_Name!$B$1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FCAA-4814-BF33-A3EE3515CA01}"/>
            </c:ext>
          </c:extLst>
        </c:ser>
        <c:dLbls>
          <c:dLblPos val="outEnd"/>
          <c:showLegendKey val="0"/>
          <c:showVal val="1"/>
          <c:showCatName val="0"/>
          <c:showSerName val="0"/>
          <c:showPercent val="0"/>
          <c:showBubbleSize val="0"/>
        </c:dLbls>
        <c:gapWidth val="182"/>
        <c:overlap val="-5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30032</xdr:colOff>
      <xdr:row>0</xdr:row>
      <xdr:rowOff>28687</xdr:rowOff>
    </xdr:from>
    <xdr:to>
      <xdr:col>23</xdr:col>
      <xdr:colOff>22412</xdr:colOff>
      <xdr:row>1</xdr:row>
      <xdr:rowOff>181087</xdr:rowOff>
    </xdr:to>
    <xdr:sp macro="" textlink="">
      <xdr:nvSpPr>
        <xdr:cNvPr id="2" name="Rectangle 1">
          <a:extLst>
            <a:ext uri="{FF2B5EF4-FFF2-40B4-BE49-F238E27FC236}">
              <a16:creationId xmlns:a16="http://schemas.microsoft.com/office/drawing/2014/main" id="{10A695C4-F7A7-C31C-CF71-CCB3D92EFA5D}"/>
            </a:ext>
          </a:extLst>
        </xdr:cNvPr>
        <xdr:cNvSpPr/>
      </xdr:nvSpPr>
      <xdr:spPr>
        <a:xfrm>
          <a:off x="623944" y="28687"/>
          <a:ext cx="13058439" cy="342900"/>
        </a:xfrm>
        <a:prstGeom prst="rect">
          <a:avLst/>
        </a:prstGeom>
        <a:solidFill>
          <a:schemeClr val="accent1">
            <a:lumMod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521745</xdr:colOff>
      <xdr:row>0</xdr:row>
      <xdr:rowOff>44375</xdr:rowOff>
    </xdr:from>
    <xdr:to>
      <xdr:col>16</xdr:col>
      <xdr:colOff>468405</xdr:colOff>
      <xdr:row>1</xdr:row>
      <xdr:rowOff>120575</xdr:rowOff>
    </xdr:to>
    <xdr:sp macro="" textlink="">
      <xdr:nvSpPr>
        <xdr:cNvPr id="3" name="TextBox 2">
          <a:extLst>
            <a:ext uri="{FF2B5EF4-FFF2-40B4-BE49-F238E27FC236}">
              <a16:creationId xmlns:a16="http://schemas.microsoft.com/office/drawing/2014/main" id="{FAB7744A-146D-BD62-291E-6EDC44186E01}"/>
            </a:ext>
          </a:extLst>
        </xdr:cNvPr>
        <xdr:cNvSpPr txBox="1"/>
      </xdr:nvSpPr>
      <xdr:spPr>
        <a:xfrm>
          <a:off x="4085216" y="44375"/>
          <a:ext cx="5885777" cy="266700"/>
        </a:xfrm>
        <a:prstGeom prst="rect">
          <a:avLst/>
        </a:prstGeom>
        <a:solidFill>
          <a:schemeClr val="accent1">
            <a:lumMod val="60000"/>
            <a:lumOff val="40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50">
              <a:ln w="9525" cmpd="sng">
                <a:solidFill>
                  <a:schemeClr val="accent1"/>
                </a:solidFill>
                <a:prstDash val="solid"/>
              </a:ln>
              <a:solidFill>
                <a:schemeClr val="tx2"/>
              </a:solidFill>
              <a:effectLst>
                <a:glow rad="38100">
                  <a:schemeClr val="accent1">
                    <a:alpha val="40000"/>
                  </a:schemeClr>
                </a:glow>
              </a:effectLst>
            </a:rPr>
            <a:t>Data Intelligence Dashboard</a:t>
          </a:r>
        </a:p>
      </xdr:txBody>
    </xdr:sp>
    <xdr:clientData/>
  </xdr:twoCellAnchor>
  <xdr:twoCellAnchor>
    <xdr:from>
      <xdr:col>1</xdr:col>
      <xdr:colOff>129540</xdr:colOff>
      <xdr:row>3</xdr:row>
      <xdr:rowOff>114300</xdr:rowOff>
    </xdr:from>
    <xdr:to>
      <xdr:col>3</xdr:col>
      <xdr:colOff>228600</xdr:colOff>
      <xdr:row>5</xdr:row>
      <xdr:rowOff>0</xdr:rowOff>
    </xdr:to>
    <xdr:sp macro="" textlink="">
      <xdr:nvSpPr>
        <xdr:cNvPr id="4" name="Rectangle: Rounded Corners 3">
          <a:extLst>
            <a:ext uri="{FF2B5EF4-FFF2-40B4-BE49-F238E27FC236}">
              <a16:creationId xmlns:a16="http://schemas.microsoft.com/office/drawing/2014/main" id="{936D6A8B-7EFE-60E9-549D-4FB25D440A15}"/>
            </a:ext>
          </a:extLst>
        </xdr:cNvPr>
        <xdr:cNvSpPr/>
      </xdr:nvSpPr>
      <xdr:spPr>
        <a:xfrm>
          <a:off x="739140" y="662940"/>
          <a:ext cx="1318260" cy="251460"/>
        </a:xfrm>
        <a:prstGeom prst="roundRect">
          <a:avLst/>
        </a:prstGeom>
        <a:solidFill>
          <a:schemeClr val="accent3">
            <a:lumMod val="40000"/>
            <a:lumOff val="6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144780</xdr:colOff>
      <xdr:row>3</xdr:row>
      <xdr:rowOff>167640</xdr:rowOff>
    </xdr:from>
    <xdr:to>
      <xdr:col>1</xdr:col>
      <xdr:colOff>350471</xdr:colOff>
      <xdr:row>5</xdr:row>
      <xdr:rowOff>4115</xdr:rowOff>
    </xdr:to>
    <xdr:pic>
      <xdr:nvPicPr>
        <xdr:cNvPr id="5" name="Icon_Filters" descr="Filter with solid fill">
          <a:extLst>
            <a:ext uri="{FF2B5EF4-FFF2-40B4-BE49-F238E27FC236}">
              <a16:creationId xmlns:a16="http://schemas.microsoft.com/office/drawing/2014/main" id="{A0D28200-BE4C-421E-9D4E-E5273E2AB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54380" y="716280"/>
          <a:ext cx="205691" cy="202235"/>
        </a:xfrm>
        <a:prstGeom prst="rect">
          <a:avLst/>
        </a:prstGeom>
      </xdr:spPr>
    </xdr:pic>
    <xdr:clientData/>
  </xdr:twoCellAnchor>
  <xdr:twoCellAnchor>
    <xdr:from>
      <xdr:col>1</xdr:col>
      <xdr:colOff>449580</xdr:colOff>
      <xdr:row>3</xdr:row>
      <xdr:rowOff>114300</xdr:rowOff>
    </xdr:from>
    <xdr:to>
      <xdr:col>2</xdr:col>
      <xdr:colOff>440264</xdr:colOff>
      <xdr:row>5</xdr:row>
      <xdr:rowOff>79117</xdr:rowOff>
    </xdr:to>
    <xdr:sp macro="" textlink="">
      <xdr:nvSpPr>
        <xdr:cNvPr id="6" name="TextBox_FiltersLabel">
          <a:extLst>
            <a:ext uri="{FF2B5EF4-FFF2-40B4-BE49-F238E27FC236}">
              <a16:creationId xmlns:a16="http://schemas.microsoft.com/office/drawing/2014/main" id="{39503BFB-6350-4FF0-8868-6934856A5292}"/>
            </a:ext>
          </a:extLst>
        </xdr:cNvPr>
        <xdr:cNvSpPr txBox="1"/>
      </xdr:nvSpPr>
      <xdr:spPr>
        <a:xfrm>
          <a:off x="1059180" y="662940"/>
          <a:ext cx="600284" cy="33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Filters</a:t>
          </a:r>
        </a:p>
      </xdr:txBody>
    </xdr:sp>
    <xdr:clientData/>
  </xdr:twoCellAnchor>
  <xdr:twoCellAnchor editAs="oneCell">
    <xdr:from>
      <xdr:col>6</xdr:col>
      <xdr:colOff>495300</xdr:colOff>
      <xdr:row>8</xdr:row>
      <xdr:rowOff>83820</xdr:rowOff>
    </xdr:from>
    <xdr:to>
      <xdr:col>8</xdr:col>
      <xdr:colOff>388620</xdr:colOff>
      <xdr:row>13</xdr:row>
      <xdr:rowOff>22860</xdr:rowOff>
    </xdr:to>
    <mc:AlternateContent xmlns:mc="http://schemas.openxmlformats.org/markup-compatibility/2006" xmlns:a14="http://schemas.microsoft.com/office/drawing/2010/main">
      <mc:Choice Requires="a14">
        <xdr:graphicFrame macro="">
          <xdr:nvGraphicFramePr>
            <xdr:cNvPr id="9" name="Years (Date) 1">
              <a:extLst>
                <a:ext uri="{FF2B5EF4-FFF2-40B4-BE49-F238E27FC236}">
                  <a16:creationId xmlns:a16="http://schemas.microsoft.com/office/drawing/2014/main" id="{E9263858-D01E-4CC7-8338-665570FB61AE}"/>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4152900" y="1546860"/>
              <a:ext cx="11125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8</xdr:row>
      <xdr:rowOff>53340</xdr:rowOff>
    </xdr:from>
    <xdr:to>
      <xdr:col>6</xdr:col>
      <xdr:colOff>320040</xdr:colOff>
      <xdr:row>14</xdr:row>
      <xdr:rowOff>137159</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1DD2987-FED7-4F9E-B834-04766D2829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48840" y="1516380"/>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3</xdr:row>
      <xdr:rowOff>45720</xdr:rowOff>
    </xdr:from>
    <xdr:to>
      <xdr:col>8</xdr:col>
      <xdr:colOff>441960</xdr:colOff>
      <xdr:row>8</xdr:row>
      <xdr:rowOff>15239</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83EB31C7-D401-4DC5-B451-3CD14E89DB7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171700" y="594361"/>
              <a:ext cx="314706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563880</xdr:colOff>
      <xdr:row>15</xdr:row>
      <xdr:rowOff>40005</xdr:rowOff>
    </xdr:from>
    <xdr:to>
      <xdr:col>5</xdr:col>
      <xdr:colOff>316230</xdr:colOff>
      <xdr:row>27</xdr:row>
      <xdr:rowOff>146685</xdr:rowOff>
    </xdr:to>
    <xdr:graphicFrame macro="">
      <xdr:nvGraphicFramePr>
        <xdr:cNvPr id="13" name="Chart 12">
          <a:extLst>
            <a:ext uri="{FF2B5EF4-FFF2-40B4-BE49-F238E27FC236}">
              <a16:creationId xmlns:a16="http://schemas.microsoft.com/office/drawing/2014/main" id="{5F248191-C6B6-4970-A1CA-C41EFB3B0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405316</xdr:colOff>
      <xdr:row>15</xdr:row>
      <xdr:rowOff>13782</xdr:rowOff>
    </xdr:from>
    <xdr:to>
      <xdr:col>23</xdr:col>
      <xdr:colOff>11205</xdr:colOff>
      <xdr:row>27</xdr:row>
      <xdr:rowOff>158562</xdr:rowOff>
    </xdr:to>
    <xdr:graphicFrame macro="">
      <xdr:nvGraphicFramePr>
        <xdr:cNvPr id="14" name="Chart 13">
          <a:extLst>
            <a:ext uri="{FF2B5EF4-FFF2-40B4-BE49-F238E27FC236}">
              <a16:creationId xmlns:a16="http://schemas.microsoft.com/office/drawing/2014/main" id="{0C70FD70-E6C2-461A-B068-0513A92B5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20955</xdr:colOff>
      <xdr:row>2</xdr:row>
      <xdr:rowOff>123265</xdr:rowOff>
    </xdr:from>
    <xdr:to>
      <xdr:col>16</xdr:col>
      <xdr:colOff>85725</xdr:colOff>
      <xdr:row>15</xdr:row>
      <xdr:rowOff>19051</xdr:rowOff>
    </xdr:to>
    <xdr:graphicFrame macro="">
      <xdr:nvGraphicFramePr>
        <xdr:cNvPr id="15" name="Chart 14">
          <a:extLst>
            <a:ext uri="{FF2B5EF4-FFF2-40B4-BE49-F238E27FC236}">
              <a16:creationId xmlns:a16="http://schemas.microsoft.com/office/drawing/2014/main" id="{34F599EC-13FB-4B1C-A694-062AB3AD6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306705</xdr:colOff>
      <xdr:row>15</xdr:row>
      <xdr:rowOff>49530</xdr:rowOff>
    </xdr:from>
    <xdr:to>
      <xdr:col>9</xdr:col>
      <xdr:colOff>516255</xdr:colOff>
      <xdr:row>27</xdr:row>
      <xdr:rowOff>156210</xdr:rowOff>
    </xdr:to>
    <xdr:graphicFrame macro="">
      <xdr:nvGraphicFramePr>
        <xdr:cNvPr id="16" name="Chart 15">
          <a:extLst>
            <a:ext uri="{FF2B5EF4-FFF2-40B4-BE49-F238E27FC236}">
              <a16:creationId xmlns:a16="http://schemas.microsoft.com/office/drawing/2014/main" id="{C4BA5D98-B5A4-4738-989F-6632FA32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531495</xdr:colOff>
      <xdr:row>15</xdr:row>
      <xdr:rowOff>41910</xdr:rowOff>
    </xdr:from>
    <xdr:to>
      <xdr:col>16</xdr:col>
      <xdr:colOff>413385</xdr:colOff>
      <xdr:row>27</xdr:row>
      <xdr:rowOff>171450</xdr:rowOff>
    </xdr:to>
    <xdr:graphicFrame macro="">
      <xdr:nvGraphicFramePr>
        <xdr:cNvPr id="17" name="Chart 16">
          <a:extLst>
            <a:ext uri="{FF2B5EF4-FFF2-40B4-BE49-F238E27FC236}">
              <a16:creationId xmlns:a16="http://schemas.microsoft.com/office/drawing/2014/main" id="{F76DFB05-60F4-42B3-A37D-408C49586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137160</xdr:colOff>
      <xdr:row>5</xdr:row>
      <xdr:rowOff>91441</xdr:rowOff>
    </xdr:from>
    <xdr:to>
      <xdr:col>3</xdr:col>
      <xdr:colOff>243840</xdr:colOff>
      <xdr:row>14</xdr:row>
      <xdr:rowOff>144781</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31181362-6C6D-4AC0-BF41-065212C533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6760" y="1005841"/>
              <a:ext cx="13258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129540</xdr:colOff>
      <xdr:row>3</xdr:row>
      <xdr:rowOff>15240</xdr:rowOff>
    </xdr:from>
    <xdr:to>
      <xdr:col>18</xdr:col>
      <xdr:colOff>563880</xdr:colOff>
      <xdr:row>8</xdr:row>
      <xdr:rowOff>175260</xdr:rowOff>
    </xdr:to>
    <xdr:sp macro="" textlink="">
      <xdr:nvSpPr>
        <xdr:cNvPr id="20" name="Rectangle 19">
          <a:extLst>
            <a:ext uri="{FF2B5EF4-FFF2-40B4-BE49-F238E27FC236}">
              <a16:creationId xmlns:a16="http://schemas.microsoft.com/office/drawing/2014/main" id="{C7BA8E92-C675-81A4-D80A-144C7DBC514F}"/>
            </a:ext>
          </a:extLst>
        </xdr:cNvPr>
        <xdr:cNvSpPr/>
      </xdr:nvSpPr>
      <xdr:spPr>
        <a:xfrm>
          <a:off x="9883140" y="563880"/>
          <a:ext cx="1653540" cy="1074420"/>
        </a:xfrm>
        <a:prstGeom prst="rect">
          <a:avLst/>
        </a:prstGeom>
        <a:solidFill>
          <a:schemeClr val="accent5">
            <a:lumMod val="5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274320</xdr:colOff>
      <xdr:row>7</xdr:row>
      <xdr:rowOff>45720</xdr:rowOff>
    </xdr:from>
    <xdr:to>
      <xdr:col>18</xdr:col>
      <xdr:colOff>449580</xdr:colOff>
      <xdr:row>8</xdr:row>
      <xdr:rowOff>137160</xdr:rowOff>
    </xdr:to>
    <xdr:sp macro="" textlink="">
      <xdr:nvSpPr>
        <xdr:cNvPr id="21" name="TextBox 20">
          <a:extLst>
            <a:ext uri="{FF2B5EF4-FFF2-40B4-BE49-F238E27FC236}">
              <a16:creationId xmlns:a16="http://schemas.microsoft.com/office/drawing/2014/main" id="{9E93DFA0-455D-40EA-6EA0-4FFF9E3D5320}"/>
            </a:ext>
          </a:extLst>
        </xdr:cNvPr>
        <xdr:cNvSpPr txBox="1"/>
      </xdr:nvSpPr>
      <xdr:spPr>
        <a:xfrm>
          <a:off x="10027920" y="1325880"/>
          <a:ext cx="1394460" cy="274320"/>
        </a:xfrm>
        <a:prstGeom prst="rect">
          <a:avLst/>
        </a:prstGeom>
        <a:solidFill>
          <a:schemeClr val="accent5">
            <a:lumMod val="50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Top</a:t>
          </a:r>
          <a:r>
            <a:rPr lang="en-IN" sz="14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Customer</a:t>
          </a:r>
        </a:p>
      </xdr:txBody>
    </xdr:sp>
    <xdr:clientData/>
  </xdr:twoCellAnchor>
  <xdr:twoCellAnchor>
    <xdr:from>
      <xdr:col>16</xdr:col>
      <xdr:colOff>304800</xdr:colOff>
      <xdr:row>4</xdr:row>
      <xdr:rowOff>114300</xdr:rowOff>
    </xdr:from>
    <xdr:to>
      <xdr:col>18</xdr:col>
      <xdr:colOff>411480</xdr:colOff>
      <xdr:row>6</xdr:row>
      <xdr:rowOff>30480</xdr:rowOff>
    </xdr:to>
    <xdr:sp macro="" textlink="'Top 5 customer'!F3">
      <xdr:nvSpPr>
        <xdr:cNvPr id="22" name="TextBox 21">
          <a:extLst>
            <a:ext uri="{FF2B5EF4-FFF2-40B4-BE49-F238E27FC236}">
              <a16:creationId xmlns:a16="http://schemas.microsoft.com/office/drawing/2014/main" id="{4D0061B5-B263-8012-F818-AEC79829168C}"/>
            </a:ext>
          </a:extLst>
        </xdr:cNvPr>
        <xdr:cNvSpPr txBox="1"/>
      </xdr:nvSpPr>
      <xdr:spPr>
        <a:xfrm>
          <a:off x="10058400" y="845820"/>
          <a:ext cx="1325880" cy="281940"/>
        </a:xfrm>
        <a:prstGeom prst="rect">
          <a:avLst/>
        </a:prstGeom>
        <a:solidFill>
          <a:schemeClr val="accent5">
            <a:lumMod val="50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95005B-A01F-47CD-8B49-A58E55C204A7}" type="TxLink">
            <a:rPr lang="en-US" sz="16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ctr"/>
            <a:t>Mark Carter</a:t>
          </a:fld>
          <a:endParaRPr lang="en-IN" sz="16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16</xdr:col>
      <xdr:colOff>129540</xdr:colOff>
      <xdr:row>9</xdr:row>
      <xdr:rowOff>11206</xdr:rowOff>
    </xdr:from>
    <xdr:to>
      <xdr:col>22</xdr:col>
      <xdr:colOff>586740</xdr:colOff>
      <xdr:row>15</xdr:row>
      <xdr:rowOff>33618</xdr:rowOff>
    </xdr:to>
    <xdr:sp macro="" textlink="">
      <xdr:nvSpPr>
        <xdr:cNvPr id="26" name="Rectangle 25">
          <a:extLst>
            <a:ext uri="{FF2B5EF4-FFF2-40B4-BE49-F238E27FC236}">
              <a16:creationId xmlns:a16="http://schemas.microsoft.com/office/drawing/2014/main" id="{DA01CE1D-E934-5928-33F5-69E8BBDC52A6}"/>
            </a:ext>
          </a:extLst>
        </xdr:cNvPr>
        <xdr:cNvSpPr/>
      </xdr:nvSpPr>
      <xdr:spPr>
        <a:xfrm>
          <a:off x="9632128" y="1725706"/>
          <a:ext cx="4020671" cy="1165412"/>
        </a:xfrm>
        <a:prstGeom prst="rect">
          <a:avLst/>
        </a:prstGeom>
        <a:solidFill>
          <a:schemeClr val="accent5">
            <a:lumMod val="5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190500</xdr:colOff>
      <xdr:row>10</xdr:row>
      <xdr:rowOff>60960</xdr:rowOff>
    </xdr:from>
    <xdr:to>
      <xdr:col>19</xdr:col>
      <xdr:colOff>297180</xdr:colOff>
      <xdr:row>13</xdr:row>
      <xdr:rowOff>106680</xdr:rowOff>
    </xdr:to>
    <xdr:sp macro="" textlink="">
      <xdr:nvSpPr>
        <xdr:cNvPr id="27" name="TextBox 26">
          <a:extLst>
            <a:ext uri="{FF2B5EF4-FFF2-40B4-BE49-F238E27FC236}">
              <a16:creationId xmlns:a16="http://schemas.microsoft.com/office/drawing/2014/main" id="{75A4AA70-6C34-2B64-D913-DC4C5A9626C2}"/>
            </a:ext>
          </a:extLst>
        </xdr:cNvPr>
        <xdr:cNvSpPr txBox="1"/>
      </xdr:nvSpPr>
      <xdr:spPr>
        <a:xfrm>
          <a:off x="9944100" y="1889760"/>
          <a:ext cx="1935480" cy="594360"/>
        </a:xfrm>
        <a:prstGeom prst="rect">
          <a:avLst/>
        </a:prstGeom>
        <a:solidFill>
          <a:schemeClr val="accent5">
            <a:lumMod val="50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6600">
                <a:solidFill>
                  <a:schemeClr val="accent2"/>
                </a:solidFill>
                <a:prstDash val="solid"/>
              </a:ln>
              <a:solidFill>
                <a:srgbClr val="FFFFFF"/>
              </a:solidFill>
              <a:effectLst>
                <a:outerShdw dist="38100" dir="2700000" algn="tl" rotWithShape="0">
                  <a:schemeClr val="accent2"/>
                </a:outerShdw>
              </a:effectLst>
            </a:rPr>
            <a:t>Total </a:t>
          </a:r>
        </a:p>
        <a:p>
          <a:pPr algn="ctr"/>
          <a:r>
            <a:rPr lang="en-IN" sz="1600" b="1" cap="none" spc="0">
              <a:ln w="6600">
                <a:solidFill>
                  <a:schemeClr val="accent2"/>
                </a:solidFill>
                <a:prstDash val="solid"/>
              </a:ln>
              <a:solidFill>
                <a:srgbClr val="FFFFFF"/>
              </a:solidFill>
              <a:effectLst>
                <a:outerShdw dist="38100" dir="2700000" algn="tl" rotWithShape="0">
                  <a:schemeClr val="accent2"/>
                </a:outerShdw>
              </a:effectLst>
            </a:rPr>
            <a:t>Transaction </a:t>
          </a:r>
        </a:p>
      </xdr:txBody>
    </xdr:sp>
    <xdr:clientData/>
  </xdr:twoCellAnchor>
  <xdr:twoCellAnchor>
    <xdr:from>
      <xdr:col>19</xdr:col>
      <xdr:colOff>396240</xdr:colOff>
      <xdr:row>10</xdr:row>
      <xdr:rowOff>34290</xdr:rowOff>
    </xdr:from>
    <xdr:to>
      <xdr:col>21</xdr:col>
      <xdr:colOff>586740</xdr:colOff>
      <xdr:row>13</xdr:row>
      <xdr:rowOff>80010</xdr:rowOff>
    </xdr:to>
    <xdr:sp macro="" textlink="'Final Project Dataset'!V31">
      <xdr:nvSpPr>
        <xdr:cNvPr id="28" name="TextBox 27">
          <a:extLst>
            <a:ext uri="{FF2B5EF4-FFF2-40B4-BE49-F238E27FC236}">
              <a16:creationId xmlns:a16="http://schemas.microsoft.com/office/drawing/2014/main" id="{6ED1CD79-F4DF-60F7-7A57-AF41EF5B2440}"/>
            </a:ext>
          </a:extLst>
        </xdr:cNvPr>
        <xdr:cNvSpPr txBox="1"/>
      </xdr:nvSpPr>
      <xdr:spPr>
        <a:xfrm>
          <a:off x="11616690" y="1939290"/>
          <a:ext cx="1371600" cy="617220"/>
        </a:xfrm>
        <a:prstGeom prst="rect">
          <a:avLst/>
        </a:prstGeom>
        <a:solidFill>
          <a:schemeClr val="accent5">
            <a:lumMod val="50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A359B6-41E1-4164-A95C-7D88791947B5}" type="TxLink">
            <a:rPr lang="en-US" sz="2000" b="1" i="0" u="none" strike="noStrike">
              <a:solidFill>
                <a:srgbClr val="FFFF00"/>
              </a:solidFill>
              <a:latin typeface="Calibri"/>
              <a:ea typeface="Calibri"/>
              <a:cs typeface="Calibri"/>
            </a:rPr>
            <a:pPr algn="ctr"/>
            <a:t>250</a:t>
          </a:fld>
          <a:endParaRPr lang="en-IN" sz="2000" b="1">
            <a:solidFill>
              <a:srgbClr val="FFFF00"/>
            </a:solidFill>
          </a:endParaRPr>
        </a:p>
      </xdr:txBody>
    </xdr:sp>
    <xdr:clientData/>
  </xdr:twoCellAnchor>
  <xdr:twoCellAnchor>
    <xdr:from>
      <xdr:col>1</xdr:col>
      <xdr:colOff>201705</xdr:colOff>
      <xdr:row>15</xdr:row>
      <xdr:rowOff>89648</xdr:rowOff>
    </xdr:from>
    <xdr:to>
      <xdr:col>4</xdr:col>
      <xdr:colOff>22411</xdr:colOff>
      <xdr:row>16</xdr:row>
      <xdr:rowOff>123265</xdr:rowOff>
    </xdr:to>
    <xdr:sp macro="" textlink="">
      <xdr:nvSpPr>
        <xdr:cNvPr id="7" name="TextBox 6">
          <a:extLst>
            <a:ext uri="{FF2B5EF4-FFF2-40B4-BE49-F238E27FC236}">
              <a16:creationId xmlns:a16="http://schemas.microsoft.com/office/drawing/2014/main" id="{99548F2C-11F7-9210-F01D-68BEA608BF33}"/>
            </a:ext>
          </a:extLst>
        </xdr:cNvPr>
        <xdr:cNvSpPr txBox="1"/>
      </xdr:nvSpPr>
      <xdr:spPr>
        <a:xfrm>
          <a:off x="795617" y="2947148"/>
          <a:ext cx="1602441" cy="22411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Types of Product Salse</a:t>
          </a:r>
        </a:p>
      </xdr:txBody>
    </xdr:sp>
    <xdr:clientData/>
  </xdr:twoCellAnchor>
  <xdr:twoCellAnchor>
    <xdr:from>
      <xdr:col>17</xdr:col>
      <xdr:colOff>369794</xdr:colOff>
      <xdr:row>15</xdr:row>
      <xdr:rowOff>78441</xdr:rowOff>
    </xdr:from>
    <xdr:to>
      <xdr:col>19</xdr:col>
      <xdr:colOff>347382</xdr:colOff>
      <xdr:row>16</xdr:row>
      <xdr:rowOff>168088</xdr:rowOff>
    </xdr:to>
    <xdr:sp macro="" textlink="">
      <xdr:nvSpPr>
        <xdr:cNvPr id="8" name="TextBox 7">
          <a:extLst>
            <a:ext uri="{FF2B5EF4-FFF2-40B4-BE49-F238E27FC236}">
              <a16:creationId xmlns:a16="http://schemas.microsoft.com/office/drawing/2014/main" id="{3342F486-E680-B358-DF3F-B4DBB40C5967}"/>
            </a:ext>
          </a:extLst>
        </xdr:cNvPr>
        <xdr:cNvSpPr txBox="1"/>
      </xdr:nvSpPr>
      <xdr:spPr>
        <a:xfrm>
          <a:off x="10466294" y="2935941"/>
          <a:ext cx="1165412" cy="280147"/>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cap="none" spc="0">
              <a:ln w="0"/>
              <a:solidFill>
                <a:schemeClr val="tx1"/>
              </a:solidFill>
              <a:effectLst>
                <a:outerShdw blurRad="38100" dist="19050" dir="2700000" algn="tl" rotWithShape="0">
                  <a:schemeClr val="dk1">
                    <a:alpha val="40000"/>
                  </a:schemeClr>
                </a:outerShdw>
              </a:effectLst>
            </a:rPr>
            <a:t>Sales Growth</a:t>
          </a:r>
        </a:p>
      </xdr:txBody>
    </xdr:sp>
    <xdr:clientData/>
  </xdr:twoCellAnchor>
  <xdr:twoCellAnchor>
    <xdr:from>
      <xdr:col>10</xdr:col>
      <xdr:colOff>33617</xdr:colOff>
      <xdr:row>2</xdr:row>
      <xdr:rowOff>168088</xdr:rowOff>
    </xdr:from>
    <xdr:to>
      <xdr:col>12</xdr:col>
      <xdr:colOff>493059</xdr:colOff>
      <xdr:row>4</xdr:row>
      <xdr:rowOff>78441</xdr:rowOff>
    </xdr:to>
    <xdr:sp macro="" textlink="">
      <xdr:nvSpPr>
        <xdr:cNvPr id="12" name="TextBox 11">
          <a:extLst>
            <a:ext uri="{FF2B5EF4-FFF2-40B4-BE49-F238E27FC236}">
              <a16:creationId xmlns:a16="http://schemas.microsoft.com/office/drawing/2014/main" id="{6286AECD-923C-C536-B135-8A2748F15F94}"/>
            </a:ext>
          </a:extLst>
        </xdr:cNvPr>
        <xdr:cNvSpPr txBox="1"/>
      </xdr:nvSpPr>
      <xdr:spPr>
        <a:xfrm>
          <a:off x="5972735" y="549088"/>
          <a:ext cx="1647265" cy="291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cap="none" spc="0">
              <a:ln w="0"/>
              <a:solidFill>
                <a:schemeClr val="tx1"/>
              </a:solidFill>
              <a:effectLst>
                <a:outerShdw blurRad="38100" dist="19050" dir="2700000" algn="tl" rotWithShape="0">
                  <a:schemeClr val="dk1">
                    <a:alpha val="40000"/>
                  </a:schemeClr>
                </a:outerShdw>
              </a:effectLst>
            </a:rPr>
            <a:t>Region Sales</a:t>
          </a:r>
        </a:p>
      </xdr:txBody>
    </xdr:sp>
    <xdr:clientData/>
  </xdr:twoCellAnchor>
  <xdr:twoCellAnchor editAs="oneCell">
    <xdr:from>
      <xdr:col>10</xdr:col>
      <xdr:colOff>67233</xdr:colOff>
      <xdr:row>2</xdr:row>
      <xdr:rowOff>145675</xdr:rowOff>
    </xdr:from>
    <xdr:to>
      <xdr:col>10</xdr:col>
      <xdr:colOff>476818</xdr:colOff>
      <xdr:row>4</xdr:row>
      <xdr:rowOff>123265</xdr:rowOff>
    </xdr:to>
    <xdr:pic>
      <xdr:nvPicPr>
        <xdr:cNvPr id="23" name="Graphic 22" descr="Bar graph with upward trend with solid fill">
          <a:extLst>
            <a:ext uri="{FF2B5EF4-FFF2-40B4-BE49-F238E27FC236}">
              <a16:creationId xmlns:a16="http://schemas.microsoft.com/office/drawing/2014/main" id="{5C81317F-C2ED-9B36-2710-429C8E14A1E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351" y="526675"/>
          <a:ext cx="409585" cy="35859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0.16029</cdr:x>
      <cdr:y>0.0727</cdr:y>
    </cdr:from>
    <cdr:to>
      <cdr:x>0.55335</cdr:x>
      <cdr:y>0.18334</cdr:y>
    </cdr:to>
    <cdr:sp macro="" textlink="">
      <cdr:nvSpPr>
        <cdr:cNvPr id="2" name="TextBox 1">
          <a:extLst xmlns:a="http://schemas.openxmlformats.org/drawingml/2006/main">
            <a:ext uri="{FF2B5EF4-FFF2-40B4-BE49-F238E27FC236}">
              <a16:creationId xmlns:a16="http://schemas.microsoft.com/office/drawing/2014/main" id="{D725AD9C-E8AE-8CFC-9290-D31678E550F1}"/>
            </a:ext>
          </a:extLst>
        </cdr:cNvPr>
        <cdr:cNvSpPr txBox="1"/>
      </cdr:nvSpPr>
      <cdr:spPr>
        <a:xfrm xmlns:a="http://schemas.openxmlformats.org/drawingml/2006/main">
          <a:off x="603212" y="176716"/>
          <a:ext cx="1479177" cy="26894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0.05012</cdr:x>
      <cdr:y>0.01738</cdr:y>
    </cdr:from>
    <cdr:to>
      <cdr:x>0.15433</cdr:x>
      <cdr:y>0.13263</cdr:y>
    </cdr:to>
    <cdr:pic>
      <cdr:nvPicPr>
        <cdr:cNvPr id="4" name="Graphic 3" descr="Upward trend with solid fill">
          <a:extLst xmlns:a="http://schemas.openxmlformats.org/drawingml/2006/main">
            <a:ext uri="{FF2B5EF4-FFF2-40B4-BE49-F238E27FC236}">
              <a16:creationId xmlns:a16="http://schemas.microsoft.com/office/drawing/2014/main" id="{3940D714-C430-E302-6031-2C673D68F79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88597" y="42246"/>
          <a:ext cx="392206" cy="280148"/>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8</xdr:col>
      <xdr:colOff>586740</xdr:colOff>
      <xdr:row>1</xdr:row>
      <xdr:rowOff>144780</xdr:rowOff>
    </xdr:from>
    <xdr:to>
      <xdr:col>16</xdr:col>
      <xdr:colOff>281940</xdr:colOff>
      <xdr:row>16</xdr:row>
      <xdr:rowOff>144780</xdr:rowOff>
    </xdr:to>
    <xdr:graphicFrame macro="">
      <xdr:nvGraphicFramePr>
        <xdr:cNvPr id="2" name="Chart 1">
          <a:extLst>
            <a:ext uri="{FF2B5EF4-FFF2-40B4-BE49-F238E27FC236}">
              <a16:creationId xmlns:a16="http://schemas.microsoft.com/office/drawing/2014/main" id="{49EFAC8E-775C-9676-D8BF-766FADCEA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381000</xdr:colOff>
      <xdr:row>8</xdr:row>
      <xdr:rowOff>156211</xdr:rowOff>
    </xdr:from>
    <xdr:to>
      <xdr:col>6</xdr:col>
      <xdr:colOff>1268730</xdr:colOff>
      <xdr:row>15</xdr:row>
      <xdr:rowOff>57150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122ABE5-9A26-78E5-EB3A-7DFF030A9E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62450" y="1680211"/>
              <a:ext cx="176403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590550</xdr:colOff>
      <xdr:row>1</xdr:row>
      <xdr:rowOff>0</xdr:rowOff>
    </xdr:from>
    <xdr:to>
      <xdr:col>10</xdr:col>
      <xdr:colOff>285750</xdr:colOff>
      <xdr:row>16</xdr:row>
      <xdr:rowOff>0</xdr:rowOff>
    </xdr:to>
    <xdr:graphicFrame macro="">
      <xdr:nvGraphicFramePr>
        <xdr:cNvPr id="2" name="Chart 1">
          <a:extLst>
            <a:ext uri="{FF2B5EF4-FFF2-40B4-BE49-F238E27FC236}">
              <a16:creationId xmlns:a16="http://schemas.microsoft.com/office/drawing/2014/main" id="{BD9B74E9-2916-7396-35AE-24511C6BF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327660</xdr:colOff>
      <xdr:row>7</xdr:row>
      <xdr:rowOff>167641</xdr:rowOff>
    </xdr:from>
    <xdr:to>
      <xdr:col>15</xdr:col>
      <xdr:colOff>76200</xdr:colOff>
      <xdr:row>14</xdr:row>
      <xdr:rowOff>30480</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7D186EF2-8593-D405-4ABC-631FA43059E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031480" y="1447801"/>
              <a:ext cx="239268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xdr:colOff>
      <xdr:row>1</xdr:row>
      <xdr:rowOff>38101</xdr:rowOff>
    </xdr:from>
    <xdr:to>
      <xdr:col>18</xdr:col>
      <xdr:colOff>13335</xdr:colOff>
      <xdr:row>6</xdr:row>
      <xdr:rowOff>83821</xdr:rowOff>
    </xdr:to>
    <mc:AlternateContent xmlns:mc="http://schemas.openxmlformats.org/markup-compatibility/2006" xmlns:a14="http://schemas.microsoft.com/office/drawing/2010/main">
      <mc:Choice Requires="a14">
        <xdr:graphicFrame macro="">
          <xdr:nvGraphicFramePr>
            <xdr:cNvPr id="9" name="Years (Date)">
              <a:extLst>
                <a:ext uri="{FF2B5EF4-FFF2-40B4-BE49-F238E27FC236}">
                  <a16:creationId xmlns:a16="http://schemas.microsoft.com/office/drawing/2014/main" id="{E600BDBF-AAF3-035F-EB4E-5507262092F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357485" y="22860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6916CEB5-D978-CF65-BDF0-815453F9F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297180</xdr:colOff>
      <xdr:row>9</xdr:row>
      <xdr:rowOff>0</xdr:rowOff>
    </xdr:from>
    <xdr:to>
      <xdr:col>2</xdr:col>
      <xdr:colOff>219075</xdr:colOff>
      <xdr:row>18</xdr:row>
      <xdr:rowOff>129539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B6F9BFA-F723-F30C-5622-BE313DAB51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8240" y="1645920"/>
              <a:ext cx="132588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1E2E1EB-1150-8A2E-2E9C-7D2081697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8</xdr:row>
      <xdr:rowOff>83821</xdr:rowOff>
    </xdr:from>
    <xdr:to>
      <xdr:col>2</xdr:col>
      <xdr:colOff>89535</xdr:colOff>
      <xdr:row>15</xdr:row>
      <xdr:rowOff>15240</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D7875172-CA15-B33B-AD44-B6000E834FDA}"/>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563880" y="154686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95FD8E2-A5C3-BA70-5C38-C229E02EA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360045</xdr:colOff>
      <xdr:row>18</xdr:row>
      <xdr:rowOff>182880</xdr:rowOff>
    </xdr:from>
    <xdr:to>
      <xdr:col>11</xdr:col>
      <xdr:colOff>573405</xdr:colOff>
      <xdr:row>24</xdr:row>
      <xdr:rowOff>15240</xdr:rowOff>
    </xdr:to>
    <mc:AlternateContent xmlns:mc="http://schemas.openxmlformats.org/markup-compatibility/2006" xmlns:a14="http://schemas.microsoft.com/office/drawing/2010/main">
      <mc:Choice Requires="a14">
        <xdr:graphicFrame macro="">
          <xdr:nvGraphicFramePr>
            <xdr:cNvPr id="3" name="Product_Name">
              <a:extLst>
                <a:ext uri="{FF2B5EF4-FFF2-40B4-BE49-F238E27FC236}">
                  <a16:creationId xmlns:a16="http://schemas.microsoft.com/office/drawing/2014/main" id="{D6F201BB-012F-610E-9BE4-4F9A7AB2E4F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3208020" y="3611880"/>
              <a:ext cx="509016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4.63102025463" createdVersion="8" refreshedVersion="8" minRefreshableVersion="3" recordCount="250" xr:uid="{E644933F-E2C4-4DA8-9E5F-192FC43B9871}">
  <cacheSource type="worksheet">
    <worksheetSource ref="A1:N251" sheet="Final Project Dataset"/>
  </cacheSource>
  <cacheFields count="20">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9"/>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556665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6.645384837961" createdVersion="8" refreshedVersion="8" minRefreshableVersion="3" recordCount="250" xr:uid="{CCF9FF64-3073-4EB7-B4E2-C9AB59ABECD6}">
  <cacheSource type="worksheet">
    <worksheetSource ref="A1:S251" sheet="Final Project Dataset"/>
  </cacheSource>
  <cacheFields count="19">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Different" numFmtId="0">
      <sharedItems containsSemiMixedTypes="0" containsString="0" containsNumber="1" containsInteger="1" minValue="0" maxValue="3"/>
    </cacheField>
    <cacheField name="Timestamp" numFmtId="22">
      <sharedItems containsSemiMixedTypes="0" containsNonDate="0" containsDate="1" containsString="0" minDate="2025-12-15T15:27:50" maxDate="2025-12-15T15:27:50"/>
    </cacheField>
    <cacheField name="Text Function" numFmtId="0">
      <sharedItems/>
    </cacheField>
    <cacheField name="Unique_Cust_ID" numFmtId="0">
      <sharedItems containsBlank="1"/>
    </cacheField>
    <cacheField name="Total Revenue per customer" numFmtId="0">
      <sharedItems containsString="0" containsBlank="1" containsNumber="1" minValue="179.97" maxValue="15659.65"/>
    </cacheField>
  </cacheFields>
  <extLst>
    <ext xmlns:x14="http://schemas.microsoft.com/office/spreadsheetml/2009/9/main" uri="{725AE2AE-9491-48be-B2B4-4EB974FC3084}">
      <x14:pivotCacheDefinition pivotCacheId="1439159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x v="0"/>
    <s v="Central"/>
    <x v="0"/>
    <x v="0"/>
    <n v="749.97"/>
  </r>
  <r>
    <s v="TRX0023"/>
    <x v="1"/>
    <s v="CUST013"/>
    <s v="Joseph Jackson"/>
    <s v="P009"/>
    <x v="0"/>
    <x v="0"/>
    <n v="3"/>
    <n v="249.99"/>
    <x v="1"/>
    <s v="Central"/>
    <x v="1"/>
    <x v="1"/>
    <n v="749.97"/>
  </r>
  <r>
    <s v="TRX0139"/>
    <x v="2"/>
    <s v="CUST021"/>
    <s v="Kevin Scott"/>
    <s v="P005"/>
    <x v="1"/>
    <x v="1"/>
    <n v="3"/>
    <n v="59.99"/>
    <x v="2"/>
    <s v="South"/>
    <x v="2"/>
    <x v="2"/>
    <n v="179.97"/>
  </r>
  <r>
    <s v="TRX0043"/>
    <x v="3"/>
    <s v="CUST046"/>
    <s v="Kathleen Bennett"/>
    <s v="P005"/>
    <x v="1"/>
    <x v="1"/>
    <n v="3"/>
    <n v="59.99"/>
    <x v="0"/>
    <s v="North"/>
    <x v="1"/>
    <x v="3"/>
    <n v="179.97"/>
  </r>
  <r>
    <s v="TRX0212"/>
    <x v="3"/>
    <s v="CUST003"/>
    <s v="Michael Brown"/>
    <s v="P008"/>
    <x v="2"/>
    <x v="2"/>
    <n v="5"/>
    <n v="149.99"/>
    <x v="1"/>
    <s v="North"/>
    <x v="1"/>
    <x v="4"/>
    <n v="749.95"/>
  </r>
  <r>
    <s v="TRX0092"/>
    <x v="4"/>
    <s v="CUST024"/>
    <s v="Dorothy Nelson"/>
    <s v="P005"/>
    <x v="1"/>
    <x v="1"/>
    <n v="2"/>
    <n v="59.99"/>
    <x v="0"/>
    <s v="West"/>
    <x v="2"/>
    <x v="5"/>
    <n v="119.98"/>
  </r>
  <r>
    <s v="TRX0193"/>
    <x v="4"/>
    <s v="CUST024"/>
    <s v="Dorothy Nelson"/>
    <s v="P003"/>
    <x v="3"/>
    <x v="0"/>
    <n v="5"/>
    <n v="149.99"/>
    <x v="1"/>
    <s v="Central"/>
    <x v="2"/>
    <x v="6"/>
    <n v="749.95"/>
  </r>
  <r>
    <s v="TRX0240"/>
    <x v="4"/>
    <s v="CUST017"/>
    <s v="Charles Allen"/>
    <s v="P005"/>
    <x v="1"/>
    <x v="1"/>
    <n v="3"/>
    <n v="59.99"/>
    <x v="3"/>
    <s v="South"/>
    <x v="0"/>
    <x v="7"/>
    <n v="179.97"/>
  </r>
  <r>
    <s v="TRX0135"/>
    <x v="5"/>
    <s v="CUST009"/>
    <s v="Robert Thomas"/>
    <s v="P001"/>
    <x v="4"/>
    <x v="0"/>
    <n v="3"/>
    <n v="899.99"/>
    <x v="2"/>
    <s v="East"/>
    <x v="2"/>
    <x v="8"/>
    <n v="2699.97"/>
  </r>
  <r>
    <s v="TRX0185"/>
    <x v="6"/>
    <s v="CUST026"/>
    <s v="Karen Hill"/>
    <s v="P005"/>
    <x v="1"/>
    <x v="1"/>
    <n v="3"/>
    <n v="59.99"/>
    <x v="0"/>
    <s v="West"/>
    <x v="1"/>
    <x v="9"/>
    <n v="179.97"/>
  </r>
  <r>
    <s v="TRX0138"/>
    <x v="6"/>
    <s v="CUST022"/>
    <s v="Susan Green"/>
    <s v="P008"/>
    <x v="2"/>
    <x v="2"/>
    <n v="1"/>
    <n v="149.99"/>
    <x v="1"/>
    <s v="West"/>
    <x v="2"/>
    <x v="10"/>
    <n v="149.99"/>
  </r>
  <r>
    <s v="TRX0209"/>
    <x v="6"/>
    <s v="CUST046"/>
    <s v="Kathleen Bennett"/>
    <s v="P008"/>
    <x v="2"/>
    <x v="2"/>
    <n v="5"/>
    <n v="149.99"/>
    <x v="3"/>
    <s v="North"/>
    <x v="0"/>
    <x v="11"/>
    <n v="749.95"/>
  </r>
  <r>
    <s v="TRX0246"/>
    <x v="6"/>
    <s v="CUST041"/>
    <s v="Peter Richardson"/>
    <s v="P008"/>
    <x v="2"/>
    <x v="2"/>
    <n v="3"/>
    <n v="149.99"/>
    <x v="0"/>
    <s v="North"/>
    <x v="1"/>
    <x v="12"/>
    <n v="449.97"/>
  </r>
  <r>
    <s v="TRX0067"/>
    <x v="7"/>
    <s v="CUST043"/>
    <s v="Dennis Gray"/>
    <s v="P005"/>
    <x v="1"/>
    <x v="1"/>
    <n v="3"/>
    <n v="59.99"/>
    <x v="1"/>
    <s v="North"/>
    <x v="2"/>
    <x v="13"/>
    <n v="179.97"/>
  </r>
  <r>
    <s v="TRX0191"/>
    <x v="7"/>
    <s v="CUST038"/>
    <s v="Michelle Rogers"/>
    <s v="P002"/>
    <x v="5"/>
    <x v="0"/>
    <n v="3"/>
    <n v="699.99"/>
    <x v="1"/>
    <s v="West"/>
    <x v="0"/>
    <x v="14"/>
    <n v="2099.9699999999998"/>
  </r>
  <r>
    <s v="TRX0230"/>
    <x v="7"/>
    <s v="CUST027"/>
    <s v="George Adams"/>
    <s v="P001"/>
    <x v="4"/>
    <x v="0"/>
    <n v="1"/>
    <n v="899.99"/>
    <x v="3"/>
    <s v="North"/>
    <x v="2"/>
    <x v="15"/>
    <n v="899.99"/>
  </r>
  <r>
    <s v="TRX0049"/>
    <x v="8"/>
    <s v="CUST025"/>
    <s v="Mark Carter"/>
    <s v="P008"/>
    <x v="2"/>
    <x v="2"/>
    <n v="4"/>
    <n v="149.99"/>
    <x v="3"/>
    <s v="North"/>
    <x v="1"/>
    <x v="16"/>
    <n v="599.96"/>
  </r>
  <r>
    <s v="TRX0134"/>
    <x v="8"/>
    <s v="CUST010"/>
    <s v="Maria Garcia"/>
    <s v="P002"/>
    <x v="5"/>
    <x v="0"/>
    <n v="2"/>
    <n v="699.99"/>
    <x v="0"/>
    <s v="North"/>
    <x v="0"/>
    <x v="17"/>
    <n v="1399.98"/>
  </r>
  <r>
    <s v="TRX0122"/>
    <x v="8"/>
    <s v="CUST025"/>
    <s v="Mark Carter"/>
    <s v="P001"/>
    <x v="4"/>
    <x v="0"/>
    <n v="4"/>
    <n v="899.99"/>
    <x v="1"/>
    <s v="West"/>
    <x v="2"/>
    <x v="18"/>
    <n v="3599.96"/>
  </r>
  <r>
    <s v="TRX0222"/>
    <x v="8"/>
    <s v="CUST048"/>
    <s v="Virginia Sanders"/>
    <s v="P009"/>
    <x v="0"/>
    <x v="0"/>
    <n v="3"/>
    <n v="249.99"/>
    <x v="1"/>
    <s v="North"/>
    <x v="1"/>
    <x v="19"/>
    <n v="749.97"/>
  </r>
  <r>
    <s v="TRX0231"/>
    <x v="9"/>
    <s v="CUST018"/>
    <s v="Barbara Young"/>
    <s v="P002"/>
    <x v="5"/>
    <x v="0"/>
    <n v="5"/>
    <n v="699.99"/>
    <x v="0"/>
    <s v="West"/>
    <x v="0"/>
    <x v="20"/>
    <n v="3499.95"/>
  </r>
  <r>
    <s v="TRX0239"/>
    <x v="10"/>
    <s v="CUST012"/>
    <s v="Patricia Moore"/>
    <s v="P002"/>
    <x v="5"/>
    <x v="0"/>
    <n v="4"/>
    <n v="699.99"/>
    <x v="0"/>
    <s v="East"/>
    <x v="2"/>
    <x v="21"/>
    <n v="2799.96"/>
  </r>
  <r>
    <s v="TRX0204"/>
    <x v="11"/>
    <s v="CUST044"/>
    <s v="Cynthia Price"/>
    <s v="P009"/>
    <x v="0"/>
    <x v="0"/>
    <n v="4"/>
    <n v="249.99"/>
    <x v="2"/>
    <s v="North"/>
    <x v="2"/>
    <x v="22"/>
    <n v="999.96"/>
  </r>
  <r>
    <s v="TRX0242"/>
    <x v="12"/>
    <s v="CUST025"/>
    <s v="Mark Carter"/>
    <s v="P007"/>
    <x v="6"/>
    <x v="2"/>
    <n v="4"/>
    <n v="299.99"/>
    <x v="0"/>
    <s v="West"/>
    <x v="1"/>
    <x v="23"/>
    <n v="1199.96"/>
  </r>
  <r>
    <s v="TRX0071"/>
    <x v="13"/>
    <s v="CUST036"/>
    <s v="Nancy Collins"/>
    <s v="P009"/>
    <x v="0"/>
    <x v="0"/>
    <n v="5"/>
    <n v="249.99"/>
    <x v="1"/>
    <s v="West"/>
    <x v="2"/>
    <x v="24"/>
    <n v="1249.95"/>
  </r>
  <r>
    <s v="TRX0040"/>
    <x v="14"/>
    <s v="CUST022"/>
    <s v="Susan Green"/>
    <s v="P007"/>
    <x v="6"/>
    <x v="2"/>
    <n v="5"/>
    <n v="299.99"/>
    <x v="2"/>
    <s v="East"/>
    <x v="0"/>
    <x v="25"/>
    <n v="1499.95"/>
  </r>
  <r>
    <s v="TRX0235"/>
    <x v="14"/>
    <s v="CUST014"/>
    <s v="Linda Martin"/>
    <s v="P004"/>
    <x v="7"/>
    <x v="1"/>
    <n v="3"/>
    <n v="79.989999999999995"/>
    <x v="2"/>
    <s v="East"/>
    <x v="1"/>
    <x v="26"/>
    <n v="239.97"/>
  </r>
  <r>
    <s v="TRX0004"/>
    <x v="14"/>
    <s v="CUST012"/>
    <s v="Patricia Moore"/>
    <s v="P010"/>
    <x v="8"/>
    <x v="0"/>
    <n v="5"/>
    <n v="89.99"/>
    <x v="0"/>
    <s v="North"/>
    <x v="1"/>
    <x v="27"/>
    <n v="449.95"/>
  </r>
  <r>
    <s v="TRX0063"/>
    <x v="15"/>
    <s v="CUST030"/>
    <s v="Helen Roberts"/>
    <s v="P005"/>
    <x v="1"/>
    <x v="1"/>
    <n v="2"/>
    <n v="59.99"/>
    <x v="3"/>
    <s v="Central"/>
    <x v="2"/>
    <x v="28"/>
    <n v="119.98"/>
  </r>
  <r>
    <s v="TRX0241"/>
    <x v="16"/>
    <s v="CUST029"/>
    <s v="Edward Mitchell"/>
    <s v="P005"/>
    <x v="1"/>
    <x v="1"/>
    <n v="4"/>
    <n v="59.99"/>
    <x v="3"/>
    <s v="East"/>
    <x v="2"/>
    <x v="29"/>
    <n v="239.96"/>
  </r>
  <r>
    <s v="TRX0029"/>
    <x v="16"/>
    <s v="CUST017"/>
    <s v="Charles Allen"/>
    <s v="P006"/>
    <x v="9"/>
    <x v="2"/>
    <n v="5"/>
    <n v="199.99"/>
    <x v="0"/>
    <s v="South"/>
    <x v="2"/>
    <x v="30"/>
    <n v="999.95"/>
  </r>
  <r>
    <s v="TRX0194"/>
    <x v="17"/>
    <s v="CUST006"/>
    <s v="Lisa Anderson"/>
    <s v="P008"/>
    <x v="2"/>
    <x v="2"/>
    <n v="2"/>
    <n v="149.99"/>
    <x v="1"/>
    <s v="West"/>
    <x v="0"/>
    <x v="31"/>
    <n v="299.98"/>
  </r>
  <r>
    <s v="TRX0130"/>
    <x v="18"/>
    <s v="CUST002"/>
    <s v="Emma Wilson"/>
    <s v="P008"/>
    <x v="2"/>
    <x v="2"/>
    <n v="3"/>
    <n v="149.99"/>
    <x v="1"/>
    <s v="West"/>
    <x v="1"/>
    <x v="32"/>
    <n v="449.97"/>
  </r>
  <r>
    <s v="TRX0041"/>
    <x v="19"/>
    <s v="CUST021"/>
    <s v="Kevin Scott"/>
    <s v="P001"/>
    <x v="4"/>
    <x v="0"/>
    <n v="1"/>
    <n v="899.99"/>
    <x v="1"/>
    <s v="West"/>
    <x v="1"/>
    <x v="33"/>
    <n v="899.99"/>
  </r>
  <r>
    <s v="TRX0232"/>
    <x v="20"/>
    <s v="CUST012"/>
    <s v="Patricia Moore"/>
    <s v="P007"/>
    <x v="6"/>
    <x v="2"/>
    <n v="3"/>
    <n v="299.99"/>
    <x v="1"/>
    <s v="East"/>
    <x v="0"/>
    <x v="34"/>
    <n v="899.97"/>
  </r>
  <r>
    <s v="TRX0021"/>
    <x v="21"/>
    <s v="CUST006"/>
    <s v="Lisa Anderson"/>
    <s v="P004"/>
    <x v="7"/>
    <x v="1"/>
    <n v="3"/>
    <n v="79.989999999999995"/>
    <x v="0"/>
    <s v="South"/>
    <x v="0"/>
    <x v="35"/>
    <n v="239.97"/>
  </r>
  <r>
    <s v="TRX0245"/>
    <x v="22"/>
    <s v="CUST031"/>
    <s v="Steven Turner"/>
    <s v="P006"/>
    <x v="9"/>
    <x v="2"/>
    <n v="3"/>
    <n v="199.99"/>
    <x v="1"/>
    <s v="North"/>
    <x v="1"/>
    <x v="36"/>
    <n v="599.97"/>
  </r>
  <r>
    <s v="TRX0015"/>
    <x v="23"/>
    <s v="CUST008"/>
    <s v="Jennifer Taylor"/>
    <s v="P002"/>
    <x v="5"/>
    <x v="0"/>
    <n v="5"/>
    <n v="699.99"/>
    <x v="2"/>
    <s v="West"/>
    <x v="2"/>
    <x v="37"/>
    <n v="3499.95"/>
  </r>
  <r>
    <s v="TRX0202"/>
    <x v="24"/>
    <s v="CUST035"/>
    <s v="Harry Morgan"/>
    <s v="P010"/>
    <x v="8"/>
    <x v="0"/>
    <n v="3"/>
    <n v="89.99"/>
    <x v="2"/>
    <s v="Central"/>
    <x v="1"/>
    <x v="38"/>
    <n v="269.97000000000003"/>
  </r>
  <r>
    <s v="TRX0042"/>
    <x v="25"/>
    <s v="CUST019"/>
    <s v="Daniel King"/>
    <s v="P004"/>
    <x v="7"/>
    <x v="1"/>
    <n v="1"/>
    <n v="79.989999999999995"/>
    <x v="0"/>
    <s v="North"/>
    <x v="2"/>
    <x v="39"/>
    <n v="79.989999999999995"/>
  </r>
  <r>
    <s v="TRX0128"/>
    <x v="26"/>
    <s v="CUST040"/>
    <s v="Sharon Butler"/>
    <s v="P005"/>
    <x v="1"/>
    <x v="1"/>
    <n v="2"/>
    <n v="59.99"/>
    <x v="0"/>
    <s v="West"/>
    <x v="0"/>
    <x v="40"/>
    <n v="119.98"/>
  </r>
  <r>
    <s v="TRX0117"/>
    <x v="26"/>
    <s v="CUST017"/>
    <s v="Charles Allen"/>
    <s v="P010"/>
    <x v="8"/>
    <x v="0"/>
    <n v="1"/>
    <n v="89.99"/>
    <x v="0"/>
    <s v="North"/>
    <x v="0"/>
    <x v="41"/>
    <n v="89.99"/>
  </r>
  <r>
    <s v="TRX0208"/>
    <x v="27"/>
    <s v="CUST004"/>
    <s v="Sarah Davis"/>
    <s v="P010"/>
    <x v="8"/>
    <x v="0"/>
    <n v="5"/>
    <n v="89.99"/>
    <x v="1"/>
    <s v="East"/>
    <x v="2"/>
    <x v="42"/>
    <n v="449.95"/>
  </r>
  <r>
    <s v="TRX0234"/>
    <x v="28"/>
    <s v="CUST013"/>
    <s v="Joseph Jackson"/>
    <s v="P009"/>
    <x v="0"/>
    <x v="0"/>
    <n v="5"/>
    <n v="249.99"/>
    <x v="1"/>
    <s v="East"/>
    <x v="2"/>
    <x v="43"/>
    <n v="1249.95"/>
  </r>
  <r>
    <s v="TRX0121"/>
    <x v="28"/>
    <s v="CUST028"/>
    <s v="Betty Campbell"/>
    <s v="P010"/>
    <x v="8"/>
    <x v="0"/>
    <n v="1"/>
    <n v="89.99"/>
    <x v="1"/>
    <s v="South"/>
    <x v="2"/>
    <x v="44"/>
    <n v="89.99"/>
  </r>
  <r>
    <s v="TRX0220"/>
    <x v="29"/>
    <s v="CUST003"/>
    <s v="Michael Brown"/>
    <s v="P008"/>
    <x v="2"/>
    <x v="2"/>
    <n v="2"/>
    <n v="149.99"/>
    <x v="0"/>
    <s v="East"/>
    <x v="1"/>
    <x v="45"/>
    <n v="299.98"/>
  </r>
  <r>
    <s v="TRX0093"/>
    <x v="30"/>
    <s v="CUST050"/>
    <s v="Julie Foster"/>
    <s v="P005"/>
    <x v="1"/>
    <x v="1"/>
    <n v="4"/>
    <n v="59.99"/>
    <x v="0"/>
    <s v="East"/>
    <x v="2"/>
    <x v="46"/>
    <n v="239.96"/>
  </r>
  <r>
    <s v="TRX0088"/>
    <x v="31"/>
    <s v="CUST006"/>
    <s v="Lisa Anderson"/>
    <s v="P010"/>
    <x v="8"/>
    <x v="0"/>
    <n v="5"/>
    <n v="89.99"/>
    <x v="0"/>
    <s v="Central"/>
    <x v="1"/>
    <x v="47"/>
    <n v="449.95"/>
  </r>
  <r>
    <s v="TRX0115"/>
    <x v="32"/>
    <s v="CUST012"/>
    <s v="Patricia Moore"/>
    <s v="P010"/>
    <x v="8"/>
    <x v="0"/>
    <n v="2"/>
    <n v="89.99"/>
    <x v="1"/>
    <s v="South"/>
    <x v="1"/>
    <x v="48"/>
    <n v="179.98"/>
  </r>
  <r>
    <s v="TRX0154"/>
    <x v="32"/>
    <s v="CUST023"/>
    <s v="Paul Baker"/>
    <s v="P001"/>
    <x v="4"/>
    <x v="0"/>
    <n v="5"/>
    <n v="899.99"/>
    <x v="1"/>
    <s v="South"/>
    <x v="2"/>
    <x v="49"/>
    <n v="4499.95"/>
  </r>
  <r>
    <s v="TRX0044"/>
    <x v="32"/>
    <s v="CUST029"/>
    <s v="Edward Mitchell"/>
    <s v="P001"/>
    <x v="4"/>
    <x v="0"/>
    <n v="5"/>
    <n v="899.99"/>
    <x v="2"/>
    <s v="East"/>
    <x v="1"/>
    <x v="50"/>
    <n v="4499.95"/>
  </r>
  <r>
    <s v="TRX0061"/>
    <x v="33"/>
    <s v="CUST028"/>
    <s v="Betty Campbell"/>
    <s v="P005"/>
    <x v="1"/>
    <x v="1"/>
    <n v="1"/>
    <n v="59.99"/>
    <x v="3"/>
    <s v="West"/>
    <x v="1"/>
    <x v="51"/>
    <n v="59.99"/>
  </r>
  <r>
    <s v="TRX0150"/>
    <x v="33"/>
    <s v="CUST008"/>
    <s v="Jennifer Taylor"/>
    <s v="P007"/>
    <x v="6"/>
    <x v="2"/>
    <n v="2"/>
    <n v="299.99"/>
    <x v="3"/>
    <s v="East"/>
    <x v="2"/>
    <x v="52"/>
    <n v="599.98"/>
  </r>
  <r>
    <s v="TRX0025"/>
    <x v="34"/>
    <s v="CUST049"/>
    <s v="Raymond Ross"/>
    <s v="P010"/>
    <x v="8"/>
    <x v="0"/>
    <n v="4"/>
    <n v="89.99"/>
    <x v="3"/>
    <s v="South"/>
    <x v="0"/>
    <x v="53"/>
    <n v="359.96"/>
  </r>
  <r>
    <s v="TRX0078"/>
    <x v="35"/>
    <s v="CUST021"/>
    <s v="Kevin Scott"/>
    <s v="P004"/>
    <x v="7"/>
    <x v="1"/>
    <n v="1"/>
    <n v="79.989999999999995"/>
    <x v="2"/>
    <s v="Central"/>
    <x v="1"/>
    <x v="54"/>
    <n v="79.989999999999995"/>
  </r>
  <r>
    <s v="TRX0007"/>
    <x v="35"/>
    <s v="CUST009"/>
    <s v="Robert Thomas"/>
    <s v="P010"/>
    <x v="8"/>
    <x v="0"/>
    <n v="2"/>
    <n v="89.99"/>
    <x v="0"/>
    <s v="West"/>
    <x v="0"/>
    <x v="55"/>
    <n v="179.98"/>
  </r>
  <r>
    <s v="TRX0184"/>
    <x v="36"/>
    <s v="CUST046"/>
    <s v="Kathleen Bennett"/>
    <s v="P002"/>
    <x v="5"/>
    <x v="0"/>
    <n v="3"/>
    <n v="699.99"/>
    <x v="1"/>
    <s v="East"/>
    <x v="1"/>
    <x v="56"/>
    <n v="2099.9699999999998"/>
  </r>
  <r>
    <s v="TRX0104"/>
    <x v="36"/>
    <s v="CUST012"/>
    <s v="Patricia Moore"/>
    <s v="P001"/>
    <x v="4"/>
    <x v="0"/>
    <n v="4"/>
    <n v="899.99"/>
    <x v="1"/>
    <s v="East"/>
    <x v="1"/>
    <x v="57"/>
    <n v="3599.96"/>
  </r>
  <r>
    <s v="TRX0127"/>
    <x v="37"/>
    <s v="CUST030"/>
    <s v="Helen Roberts"/>
    <s v="P008"/>
    <x v="2"/>
    <x v="2"/>
    <n v="1"/>
    <n v="149.99"/>
    <x v="2"/>
    <s v="East"/>
    <x v="0"/>
    <x v="58"/>
    <n v="149.99"/>
  </r>
  <r>
    <s v="TRX0096"/>
    <x v="38"/>
    <s v="CUST002"/>
    <s v="Emma Wilson"/>
    <s v="P010"/>
    <x v="8"/>
    <x v="0"/>
    <n v="2"/>
    <n v="89.99"/>
    <x v="2"/>
    <s v="Central"/>
    <x v="1"/>
    <x v="59"/>
    <n v="179.98"/>
  </r>
  <r>
    <s v="TRX0192"/>
    <x v="39"/>
    <s v="CUST017"/>
    <s v="Charles Allen"/>
    <s v="P010"/>
    <x v="8"/>
    <x v="0"/>
    <n v="1"/>
    <n v="89.99"/>
    <x v="2"/>
    <s v="West"/>
    <x v="2"/>
    <x v="60"/>
    <n v="89.99"/>
  </r>
  <r>
    <s v="TRX0052"/>
    <x v="40"/>
    <s v="CUST022"/>
    <s v="Susan Green"/>
    <s v="P010"/>
    <x v="8"/>
    <x v="0"/>
    <n v="1"/>
    <n v="89.99"/>
    <x v="0"/>
    <s v="South"/>
    <x v="2"/>
    <x v="61"/>
    <n v="89.99"/>
  </r>
  <r>
    <s v="TRX0070"/>
    <x v="40"/>
    <s v="CUST007"/>
    <s v="David Martinez"/>
    <s v="P004"/>
    <x v="7"/>
    <x v="1"/>
    <n v="5"/>
    <n v="79.989999999999995"/>
    <x v="3"/>
    <s v="Central"/>
    <x v="0"/>
    <x v="62"/>
    <n v="399.95"/>
  </r>
  <r>
    <s v="TRX0086"/>
    <x v="41"/>
    <s v="CUST020"/>
    <s v="Margaret Wright"/>
    <s v="P008"/>
    <x v="2"/>
    <x v="2"/>
    <n v="1"/>
    <n v="149.99"/>
    <x v="2"/>
    <s v="North"/>
    <x v="0"/>
    <x v="63"/>
    <n v="149.99"/>
  </r>
  <r>
    <s v="TRX0113"/>
    <x v="41"/>
    <s v="CUST003"/>
    <s v="Michael Brown"/>
    <s v="P002"/>
    <x v="5"/>
    <x v="0"/>
    <n v="2"/>
    <n v="699.99"/>
    <x v="2"/>
    <s v="East"/>
    <x v="1"/>
    <x v="64"/>
    <n v="1399.98"/>
  </r>
  <r>
    <s v="TRX0114"/>
    <x v="41"/>
    <s v="CUST018"/>
    <s v="Barbara Young"/>
    <s v="P010"/>
    <x v="8"/>
    <x v="0"/>
    <n v="5"/>
    <n v="89.99"/>
    <x v="3"/>
    <s v="North"/>
    <x v="1"/>
    <x v="65"/>
    <n v="449.95"/>
  </r>
  <r>
    <s v="TRX0136"/>
    <x v="42"/>
    <s v="CUST049"/>
    <s v="Raymond Ross"/>
    <s v="P005"/>
    <x v="1"/>
    <x v="1"/>
    <n v="4"/>
    <n v="59.99"/>
    <x v="0"/>
    <s v="South"/>
    <x v="2"/>
    <x v="66"/>
    <n v="239.96"/>
  </r>
  <r>
    <s v="TRX0018"/>
    <x v="43"/>
    <s v="CUST013"/>
    <s v="Joseph Jackson"/>
    <s v="P003"/>
    <x v="3"/>
    <x v="0"/>
    <n v="1"/>
    <n v="149.99"/>
    <x v="0"/>
    <s v="Central"/>
    <x v="2"/>
    <x v="67"/>
    <n v="149.99"/>
  </r>
  <r>
    <s v="TRX0141"/>
    <x v="43"/>
    <s v="CUST033"/>
    <s v="Frank Torres"/>
    <s v="P007"/>
    <x v="6"/>
    <x v="2"/>
    <n v="1"/>
    <n v="299.99"/>
    <x v="1"/>
    <s v="North"/>
    <x v="1"/>
    <x v="68"/>
    <n v="299.99"/>
  </r>
  <r>
    <s v="TRX0097"/>
    <x v="44"/>
    <s v="CUST033"/>
    <s v="Frank Torres"/>
    <s v="P006"/>
    <x v="9"/>
    <x v="2"/>
    <n v="2"/>
    <n v="199.99"/>
    <x v="0"/>
    <s v="North"/>
    <x v="0"/>
    <x v="69"/>
    <n v="399.98"/>
  </r>
  <r>
    <s v="TRX0169"/>
    <x v="45"/>
    <s v="CUST047"/>
    <s v="Gerald Murphy"/>
    <s v="P005"/>
    <x v="1"/>
    <x v="1"/>
    <n v="3"/>
    <n v="59.99"/>
    <x v="1"/>
    <s v="West"/>
    <x v="0"/>
    <x v="70"/>
    <n v="179.97"/>
  </r>
  <r>
    <s v="TRX0216"/>
    <x v="45"/>
    <s v="CUST041"/>
    <s v="Peter Richardson"/>
    <s v="P008"/>
    <x v="2"/>
    <x v="2"/>
    <n v="3"/>
    <n v="149.99"/>
    <x v="0"/>
    <s v="Central"/>
    <x v="1"/>
    <x v="71"/>
    <n v="449.97"/>
  </r>
  <r>
    <s v="TRX0131"/>
    <x v="46"/>
    <s v="CUST026"/>
    <s v="Karen Hill"/>
    <s v="P006"/>
    <x v="9"/>
    <x v="2"/>
    <n v="3"/>
    <n v="199.99"/>
    <x v="0"/>
    <s v="North"/>
    <x v="1"/>
    <x v="72"/>
    <n v="599.97"/>
  </r>
  <r>
    <s v="TRX0162"/>
    <x v="47"/>
    <s v="CUST040"/>
    <s v="Sharon Butler"/>
    <s v="P001"/>
    <x v="4"/>
    <x v="0"/>
    <n v="1"/>
    <n v="899.99"/>
    <x v="0"/>
    <s v="Central"/>
    <x v="2"/>
    <x v="73"/>
    <n v="899.99"/>
  </r>
  <r>
    <s v="TRX0244"/>
    <x v="48"/>
    <s v="CUST013"/>
    <s v="Joseph Jackson"/>
    <s v="P001"/>
    <x v="4"/>
    <x v="0"/>
    <n v="5"/>
    <n v="899.99"/>
    <x v="3"/>
    <s v="South"/>
    <x v="2"/>
    <x v="74"/>
    <n v="4499.95"/>
  </r>
  <r>
    <s v="TRX0006"/>
    <x v="49"/>
    <s v="CUST007"/>
    <s v="David Martinez"/>
    <s v="P005"/>
    <x v="1"/>
    <x v="1"/>
    <n v="2"/>
    <n v="59.99"/>
    <x v="0"/>
    <s v="North"/>
    <x v="2"/>
    <x v="75"/>
    <n v="119.98"/>
  </r>
  <r>
    <s v="TRX0215"/>
    <x v="49"/>
    <s v="CUST047"/>
    <s v="Gerald Murphy"/>
    <s v="P009"/>
    <x v="0"/>
    <x v="0"/>
    <n v="4"/>
    <n v="249.99"/>
    <x v="3"/>
    <s v="Central"/>
    <x v="2"/>
    <x v="76"/>
    <n v="999.96"/>
  </r>
  <r>
    <s v="TRX0080"/>
    <x v="50"/>
    <s v="CUST018"/>
    <s v="Barbara Young"/>
    <s v="P009"/>
    <x v="0"/>
    <x v="0"/>
    <n v="2"/>
    <n v="249.99"/>
    <x v="0"/>
    <s v="North"/>
    <x v="1"/>
    <x v="77"/>
    <n v="499.98"/>
  </r>
  <r>
    <s v="TRX0228"/>
    <x v="50"/>
    <s v="CUST019"/>
    <s v="Daniel King"/>
    <s v="P007"/>
    <x v="6"/>
    <x v="2"/>
    <n v="1"/>
    <n v="299.99"/>
    <x v="0"/>
    <s v="South"/>
    <x v="0"/>
    <x v="78"/>
    <n v="299.99"/>
  </r>
  <r>
    <s v="TRX0157"/>
    <x v="51"/>
    <s v="CUST025"/>
    <s v="Mark Carter"/>
    <s v="P010"/>
    <x v="8"/>
    <x v="0"/>
    <n v="2"/>
    <n v="89.99"/>
    <x v="2"/>
    <s v="South"/>
    <x v="0"/>
    <x v="79"/>
    <n v="179.98"/>
  </r>
  <r>
    <s v="TRX0002"/>
    <x v="51"/>
    <s v="CUST019"/>
    <s v="Daniel King"/>
    <s v="P007"/>
    <x v="6"/>
    <x v="2"/>
    <n v="3"/>
    <n v="299.99"/>
    <x v="0"/>
    <s v="Central"/>
    <x v="0"/>
    <x v="80"/>
    <n v="899.97"/>
  </r>
  <r>
    <s v="TRX0217"/>
    <x v="52"/>
    <s v="CUST025"/>
    <s v="Mark Carter"/>
    <s v="P002"/>
    <x v="5"/>
    <x v="0"/>
    <n v="2"/>
    <n v="699.99"/>
    <x v="1"/>
    <s v="North"/>
    <x v="1"/>
    <x v="81"/>
    <n v="1399.98"/>
  </r>
  <r>
    <s v="TRX0249"/>
    <x v="53"/>
    <s v="CUST030"/>
    <s v="Helen Roberts"/>
    <s v="P001"/>
    <x v="4"/>
    <x v="0"/>
    <n v="4"/>
    <n v="899.99"/>
    <x v="3"/>
    <s v="South"/>
    <x v="2"/>
    <x v="82"/>
    <n v="3599.96"/>
  </r>
  <r>
    <s v="TRX0065"/>
    <x v="54"/>
    <s v="CUST016"/>
    <s v="Elizabeth Hall"/>
    <s v="P008"/>
    <x v="2"/>
    <x v="2"/>
    <n v="2"/>
    <n v="149.99"/>
    <x v="1"/>
    <s v="West"/>
    <x v="0"/>
    <x v="83"/>
    <n v="299.98"/>
  </r>
  <r>
    <s v="TRX0176"/>
    <x v="55"/>
    <s v="CUST044"/>
    <s v="Cynthia Price"/>
    <s v="P008"/>
    <x v="2"/>
    <x v="2"/>
    <n v="2"/>
    <n v="149.99"/>
    <x v="3"/>
    <s v="East"/>
    <x v="2"/>
    <x v="84"/>
    <n v="299.98"/>
  </r>
  <r>
    <s v="TRX0101"/>
    <x v="56"/>
    <s v="CUST010"/>
    <s v="Maria Garcia"/>
    <s v="P010"/>
    <x v="8"/>
    <x v="0"/>
    <n v="1"/>
    <n v="89.99"/>
    <x v="1"/>
    <s v="North"/>
    <x v="2"/>
    <x v="85"/>
    <n v="89.99"/>
  </r>
  <r>
    <s v="TRX0205"/>
    <x v="57"/>
    <s v="CUST025"/>
    <s v="Mark Carter"/>
    <s v="P007"/>
    <x v="6"/>
    <x v="2"/>
    <n v="5"/>
    <n v="299.99"/>
    <x v="1"/>
    <s v="North"/>
    <x v="0"/>
    <x v="86"/>
    <n v="1499.95"/>
  </r>
  <r>
    <s v="TRX0020"/>
    <x v="58"/>
    <s v="CUST007"/>
    <s v="David Martinez"/>
    <s v="P003"/>
    <x v="3"/>
    <x v="0"/>
    <n v="4"/>
    <n v="149.99"/>
    <x v="3"/>
    <s v="South"/>
    <x v="1"/>
    <x v="87"/>
    <n v="599.96"/>
  </r>
  <r>
    <s v="TRX0075"/>
    <x v="58"/>
    <s v="CUST020"/>
    <s v="Margaret Wright"/>
    <s v="P009"/>
    <x v="0"/>
    <x v="0"/>
    <n v="5"/>
    <n v="249.99"/>
    <x v="2"/>
    <s v="East"/>
    <x v="1"/>
    <x v="88"/>
    <n v="1249.95"/>
  </r>
  <r>
    <s v="TRX0098"/>
    <x v="58"/>
    <s v="CUST026"/>
    <s v="Karen Hill"/>
    <s v="P009"/>
    <x v="0"/>
    <x v="0"/>
    <n v="3"/>
    <n v="249.99"/>
    <x v="2"/>
    <s v="North"/>
    <x v="1"/>
    <x v="89"/>
    <n v="749.97"/>
  </r>
  <r>
    <s v="TRX0247"/>
    <x v="58"/>
    <s v="CUST046"/>
    <s v="Kathleen Bennett"/>
    <s v="P006"/>
    <x v="9"/>
    <x v="2"/>
    <n v="4"/>
    <n v="199.99"/>
    <x v="0"/>
    <s v="North"/>
    <x v="2"/>
    <x v="90"/>
    <n v="799.96"/>
  </r>
  <r>
    <s v="TRX0027"/>
    <x v="59"/>
    <s v="CUST028"/>
    <s v="Betty Campbell"/>
    <s v="P006"/>
    <x v="9"/>
    <x v="2"/>
    <n v="5"/>
    <n v="199.99"/>
    <x v="0"/>
    <s v="North"/>
    <x v="1"/>
    <x v="91"/>
    <n v="999.95"/>
  </r>
  <r>
    <s v="TRX0140"/>
    <x v="60"/>
    <s v="CUST025"/>
    <s v="Mark Carter"/>
    <s v="P010"/>
    <x v="8"/>
    <x v="0"/>
    <n v="2"/>
    <n v="89.99"/>
    <x v="0"/>
    <s v="East"/>
    <x v="1"/>
    <x v="92"/>
    <n v="179.98"/>
  </r>
  <r>
    <s v="TRX0132"/>
    <x v="61"/>
    <s v="CUST047"/>
    <s v="Gerald Murphy"/>
    <s v="P001"/>
    <x v="4"/>
    <x v="0"/>
    <n v="5"/>
    <n v="899.99"/>
    <x v="3"/>
    <s v="East"/>
    <x v="0"/>
    <x v="93"/>
    <n v="4499.95"/>
  </r>
  <r>
    <s v="TRX0031"/>
    <x v="61"/>
    <s v="CUST036"/>
    <s v="Nancy Collins"/>
    <s v="P003"/>
    <x v="3"/>
    <x v="0"/>
    <n v="3"/>
    <n v="149.99"/>
    <x v="2"/>
    <s v="East"/>
    <x v="0"/>
    <x v="94"/>
    <n v="449.97"/>
  </r>
  <r>
    <s v="TRX0236"/>
    <x v="62"/>
    <s v="CUST044"/>
    <s v="Cynthia Price"/>
    <s v="P008"/>
    <x v="2"/>
    <x v="2"/>
    <n v="5"/>
    <n v="149.99"/>
    <x v="1"/>
    <s v="Central"/>
    <x v="0"/>
    <x v="95"/>
    <n v="749.95"/>
  </r>
  <r>
    <s v="TRX0001"/>
    <x v="63"/>
    <s v="CUST039"/>
    <s v="Lawrence Reed"/>
    <s v="P004"/>
    <x v="7"/>
    <x v="1"/>
    <n v="3"/>
    <n v="79.989999999999995"/>
    <x v="0"/>
    <s v="Central"/>
    <x v="1"/>
    <x v="96"/>
    <n v="239.97"/>
  </r>
  <r>
    <s v="TRX0037"/>
    <x v="63"/>
    <s v="CUST035"/>
    <s v="Harry Morgan"/>
    <s v="P009"/>
    <x v="0"/>
    <x v="0"/>
    <n v="2"/>
    <n v="249.99"/>
    <x v="0"/>
    <s v="South"/>
    <x v="2"/>
    <x v="97"/>
    <n v="499.98"/>
  </r>
  <r>
    <s v="TRX0058"/>
    <x v="64"/>
    <s v="CUST047"/>
    <s v="Gerald Murphy"/>
    <s v="P002"/>
    <x v="5"/>
    <x v="0"/>
    <n v="1"/>
    <n v="699.99"/>
    <x v="0"/>
    <s v="Central"/>
    <x v="1"/>
    <x v="98"/>
    <n v="699.99"/>
  </r>
  <r>
    <s v="TRX0170"/>
    <x v="64"/>
    <s v="CUST034"/>
    <s v="Carol Evans"/>
    <s v="P003"/>
    <x v="3"/>
    <x v="0"/>
    <n v="3"/>
    <n v="149.99"/>
    <x v="0"/>
    <s v="West"/>
    <x v="1"/>
    <x v="99"/>
    <n v="449.97"/>
  </r>
  <r>
    <s v="TRX0248"/>
    <x v="65"/>
    <s v="CUST032"/>
    <s v="Sandra Phillips"/>
    <s v="P002"/>
    <x v="5"/>
    <x v="0"/>
    <n v="2"/>
    <n v="699.99"/>
    <x v="1"/>
    <s v="North"/>
    <x v="1"/>
    <x v="63"/>
    <n v="1399.98"/>
  </r>
  <r>
    <s v="TRX0099"/>
    <x v="66"/>
    <s v="CUST034"/>
    <s v="Carol Evans"/>
    <s v="P009"/>
    <x v="0"/>
    <x v="0"/>
    <n v="1"/>
    <n v="249.99"/>
    <x v="1"/>
    <s v="West"/>
    <x v="1"/>
    <x v="100"/>
    <n v="249.99"/>
  </r>
  <r>
    <s v="TRX0074"/>
    <x v="66"/>
    <s v="CUST023"/>
    <s v="Paul Baker"/>
    <s v="P009"/>
    <x v="0"/>
    <x v="0"/>
    <n v="1"/>
    <n v="249.99"/>
    <x v="3"/>
    <s v="North"/>
    <x v="1"/>
    <x v="101"/>
    <n v="249.99"/>
  </r>
  <r>
    <s v="TRX0225"/>
    <x v="67"/>
    <s v="CUST039"/>
    <s v="Lawrence Reed"/>
    <s v="P002"/>
    <x v="5"/>
    <x v="0"/>
    <n v="2"/>
    <n v="699.99"/>
    <x v="3"/>
    <s v="Central"/>
    <x v="1"/>
    <x v="102"/>
    <n v="1399.98"/>
  </r>
  <r>
    <s v="TRX0100"/>
    <x v="68"/>
    <s v="CUST031"/>
    <s v="Steven Turner"/>
    <s v="P005"/>
    <x v="1"/>
    <x v="1"/>
    <n v="3"/>
    <n v="59.99"/>
    <x v="1"/>
    <s v="Central"/>
    <x v="1"/>
    <x v="103"/>
    <n v="179.97"/>
  </r>
  <r>
    <s v="TRX0142"/>
    <x v="69"/>
    <s v="CUST002"/>
    <s v="Emma Wilson"/>
    <s v="P005"/>
    <x v="1"/>
    <x v="1"/>
    <n v="3"/>
    <n v="59.99"/>
    <x v="2"/>
    <s v="East"/>
    <x v="2"/>
    <x v="104"/>
    <n v="179.97"/>
  </r>
  <r>
    <s v="TRX0112"/>
    <x v="69"/>
    <s v="CUST008"/>
    <s v="Jennifer Taylor"/>
    <s v="P004"/>
    <x v="7"/>
    <x v="1"/>
    <n v="4"/>
    <n v="79.989999999999995"/>
    <x v="0"/>
    <s v="North"/>
    <x v="0"/>
    <x v="105"/>
    <n v="319.95999999999998"/>
  </r>
  <r>
    <s v="TRX0161"/>
    <x v="70"/>
    <s v="CUST017"/>
    <s v="Charles Allen"/>
    <s v="P004"/>
    <x v="7"/>
    <x v="1"/>
    <n v="1"/>
    <n v="79.989999999999995"/>
    <x v="0"/>
    <s v="West"/>
    <x v="0"/>
    <x v="106"/>
    <n v="79.989999999999995"/>
  </r>
  <r>
    <s v="TRX0108"/>
    <x v="71"/>
    <s v="CUST024"/>
    <s v="Dorothy Nelson"/>
    <s v="P007"/>
    <x v="6"/>
    <x v="2"/>
    <n v="3"/>
    <n v="299.99"/>
    <x v="1"/>
    <s v="Central"/>
    <x v="1"/>
    <x v="107"/>
    <n v="899.97"/>
  </r>
  <r>
    <s v="TRX0211"/>
    <x v="72"/>
    <s v="CUST046"/>
    <s v="Kathleen Bennett"/>
    <s v="P010"/>
    <x v="8"/>
    <x v="0"/>
    <n v="2"/>
    <n v="89.99"/>
    <x v="1"/>
    <s v="South"/>
    <x v="1"/>
    <x v="108"/>
    <n v="179.98"/>
  </r>
  <r>
    <s v="TRX0005"/>
    <x v="73"/>
    <s v="CUST042"/>
    <s v="Ruth Brooks"/>
    <s v="P003"/>
    <x v="3"/>
    <x v="0"/>
    <n v="4"/>
    <n v="149.99"/>
    <x v="0"/>
    <s v="North"/>
    <x v="0"/>
    <x v="67"/>
    <n v="599.96"/>
  </r>
  <r>
    <s v="TRX0195"/>
    <x v="74"/>
    <s v="CUST026"/>
    <s v="Karen Hill"/>
    <s v="P009"/>
    <x v="0"/>
    <x v="0"/>
    <n v="2"/>
    <n v="249.99"/>
    <x v="2"/>
    <s v="South"/>
    <x v="0"/>
    <x v="57"/>
    <n v="499.98"/>
  </r>
  <r>
    <s v="TRX0054"/>
    <x v="74"/>
    <s v="CUST004"/>
    <s v="Sarah Davis"/>
    <s v="P006"/>
    <x v="9"/>
    <x v="2"/>
    <n v="4"/>
    <n v="199.99"/>
    <x v="3"/>
    <s v="East"/>
    <x v="0"/>
    <x v="90"/>
    <n v="799.96"/>
  </r>
  <r>
    <s v="TRX0077"/>
    <x v="75"/>
    <s v="CUST019"/>
    <s v="Daniel King"/>
    <s v="P010"/>
    <x v="8"/>
    <x v="0"/>
    <n v="5"/>
    <n v="89.99"/>
    <x v="1"/>
    <s v="East"/>
    <x v="1"/>
    <x v="109"/>
    <n v="449.95"/>
  </r>
  <r>
    <s v="TRX0111"/>
    <x v="75"/>
    <s v="CUST011"/>
    <s v="William White"/>
    <s v="P003"/>
    <x v="3"/>
    <x v="0"/>
    <n v="1"/>
    <n v="149.99"/>
    <x v="2"/>
    <s v="East"/>
    <x v="2"/>
    <x v="110"/>
    <n v="149.99"/>
  </r>
  <r>
    <s v="TRX0123"/>
    <x v="75"/>
    <s v="CUST041"/>
    <s v="Peter Richardson"/>
    <s v="P002"/>
    <x v="5"/>
    <x v="0"/>
    <n v="4"/>
    <n v="699.99"/>
    <x v="2"/>
    <s v="South"/>
    <x v="0"/>
    <x v="111"/>
    <n v="2799.96"/>
  </r>
  <r>
    <s v="TRX0177"/>
    <x v="76"/>
    <s v="CUST032"/>
    <s v="Sandra Phillips"/>
    <s v="P001"/>
    <x v="4"/>
    <x v="0"/>
    <n v="3"/>
    <n v="899.99"/>
    <x v="1"/>
    <s v="North"/>
    <x v="2"/>
    <x v="112"/>
    <n v="2699.97"/>
  </r>
  <r>
    <s v="TRX0119"/>
    <x v="77"/>
    <s v="CUST014"/>
    <s v="Linda Martin"/>
    <s v="P008"/>
    <x v="2"/>
    <x v="2"/>
    <n v="3"/>
    <n v="149.99"/>
    <x v="2"/>
    <s v="East"/>
    <x v="0"/>
    <x v="113"/>
    <n v="449.97"/>
  </r>
  <r>
    <s v="TRX0181"/>
    <x v="78"/>
    <s v="CUST012"/>
    <s v="Patricia Moore"/>
    <s v="P007"/>
    <x v="6"/>
    <x v="2"/>
    <n v="2"/>
    <n v="299.99"/>
    <x v="3"/>
    <s v="Central"/>
    <x v="0"/>
    <x v="114"/>
    <n v="599.98"/>
  </r>
  <r>
    <s v="TRX0129"/>
    <x v="79"/>
    <s v="CUST015"/>
    <s v="Richard Lee"/>
    <s v="P006"/>
    <x v="9"/>
    <x v="2"/>
    <n v="1"/>
    <n v="199.99"/>
    <x v="3"/>
    <s v="East"/>
    <x v="2"/>
    <x v="115"/>
    <n v="199.99"/>
  </r>
  <r>
    <s v="TRX0174"/>
    <x v="80"/>
    <s v="CUST003"/>
    <s v="Michael Brown"/>
    <s v="P007"/>
    <x v="6"/>
    <x v="2"/>
    <n v="4"/>
    <n v="299.99"/>
    <x v="0"/>
    <s v="Central"/>
    <x v="1"/>
    <x v="116"/>
    <n v="1199.96"/>
  </r>
  <r>
    <s v="TRX0146"/>
    <x v="81"/>
    <s v="CUST010"/>
    <s v="Maria Garcia"/>
    <s v="P005"/>
    <x v="1"/>
    <x v="1"/>
    <n v="2"/>
    <n v="59.99"/>
    <x v="1"/>
    <s v="Central"/>
    <x v="0"/>
    <x v="47"/>
    <n v="119.98"/>
  </r>
  <r>
    <s v="TRX0203"/>
    <x v="81"/>
    <s v="CUST032"/>
    <s v="Sandra Phillips"/>
    <s v="P003"/>
    <x v="3"/>
    <x v="0"/>
    <n v="4"/>
    <n v="149.99"/>
    <x v="1"/>
    <s v="North"/>
    <x v="1"/>
    <x v="117"/>
    <n v="599.96"/>
  </r>
  <r>
    <s v="TRX0055"/>
    <x v="82"/>
    <s v="CUST016"/>
    <s v="Elizabeth Hall"/>
    <s v="P002"/>
    <x v="5"/>
    <x v="0"/>
    <n v="2"/>
    <n v="699.99"/>
    <x v="3"/>
    <s v="East"/>
    <x v="1"/>
    <x v="118"/>
    <n v="1399.98"/>
  </r>
  <r>
    <s v="TRX0218"/>
    <x v="82"/>
    <s v="CUST034"/>
    <s v="Carol Evans"/>
    <s v="P008"/>
    <x v="2"/>
    <x v="2"/>
    <n v="3"/>
    <n v="149.99"/>
    <x v="1"/>
    <s v="South"/>
    <x v="2"/>
    <x v="119"/>
    <n v="449.97"/>
  </r>
  <r>
    <s v="TRX0085"/>
    <x v="83"/>
    <s v="CUST019"/>
    <s v="Daniel King"/>
    <s v="P007"/>
    <x v="6"/>
    <x v="2"/>
    <n v="3"/>
    <n v="299.99"/>
    <x v="1"/>
    <s v="Central"/>
    <x v="2"/>
    <x v="120"/>
    <n v="899.97"/>
  </r>
  <r>
    <s v="TRX0158"/>
    <x v="84"/>
    <s v="CUST027"/>
    <s v="George Adams"/>
    <s v="P001"/>
    <x v="4"/>
    <x v="0"/>
    <n v="3"/>
    <n v="899.99"/>
    <x v="2"/>
    <s v="West"/>
    <x v="0"/>
    <x v="121"/>
    <n v="2699.97"/>
  </r>
  <r>
    <s v="TRX0173"/>
    <x v="85"/>
    <s v="CUST018"/>
    <s v="Barbara Young"/>
    <s v="P002"/>
    <x v="5"/>
    <x v="0"/>
    <n v="5"/>
    <n v="699.99"/>
    <x v="0"/>
    <s v="East"/>
    <x v="2"/>
    <x v="122"/>
    <n v="3499.95"/>
  </r>
  <r>
    <s v="TRX0034"/>
    <x v="85"/>
    <s v="CUST049"/>
    <s v="Raymond Ross"/>
    <s v="P002"/>
    <x v="5"/>
    <x v="0"/>
    <n v="4"/>
    <n v="699.99"/>
    <x v="1"/>
    <s v="Central"/>
    <x v="0"/>
    <x v="123"/>
    <n v="2799.96"/>
  </r>
  <r>
    <s v="TRX0189"/>
    <x v="85"/>
    <s v="CUST040"/>
    <s v="Sharon Butler"/>
    <s v="P001"/>
    <x v="4"/>
    <x v="0"/>
    <n v="1"/>
    <n v="899.99"/>
    <x v="1"/>
    <s v="East"/>
    <x v="2"/>
    <x v="124"/>
    <n v="899.99"/>
  </r>
  <r>
    <s v="TRX0190"/>
    <x v="86"/>
    <s v="CUST039"/>
    <s v="Lawrence Reed"/>
    <s v="P003"/>
    <x v="3"/>
    <x v="0"/>
    <n v="2"/>
    <n v="149.99"/>
    <x v="1"/>
    <s v="West"/>
    <x v="0"/>
    <x v="125"/>
    <n v="299.98"/>
  </r>
  <r>
    <s v="TRX0079"/>
    <x v="87"/>
    <s v="CUST039"/>
    <s v="Lawrence Reed"/>
    <s v="P010"/>
    <x v="8"/>
    <x v="0"/>
    <n v="3"/>
    <n v="89.99"/>
    <x v="2"/>
    <s v="Central"/>
    <x v="0"/>
    <x v="126"/>
    <n v="269.97000000000003"/>
  </r>
  <r>
    <s v="TRX0095"/>
    <x v="88"/>
    <s v="CUST046"/>
    <s v="Kathleen Bennett"/>
    <s v="P003"/>
    <x v="3"/>
    <x v="0"/>
    <n v="2"/>
    <n v="149.99"/>
    <x v="2"/>
    <s v="Central"/>
    <x v="0"/>
    <x v="127"/>
    <n v="299.98"/>
  </r>
  <r>
    <s v="TRX0009"/>
    <x v="88"/>
    <s v="CUST004"/>
    <s v="Sarah Davis"/>
    <s v="P002"/>
    <x v="5"/>
    <x v="0"/>
    <n v="2"/>
    <n v="699.99"/>
    <x v="0"/>
    <s v="Central"/>
    <x v="0"/>
    <x v="128"/>
    <n v="1399.98"/>
  </r>
  <r>
    <s v="TRX0167"/>
    <x v="89"/>
    <s v="CUST028"/>
    <s v="Betty Campbell"/>
    <s v="P002"/>
    <x v="5"/>
    <x v="0"/>
    <n v="5"/>
    <n v="699.99"/>
    <x v="0"/>
    <s v="North"/>
    <x v="1"/>
    <x v="129"/>
    <n v="3499.95"/>
  </r>
  <r>
    <s v="TRX0153"/>
    <x v="90"/>
    <s v="CUST049"/>
    <s v="Raymond Ross"/>
    <s v="P010"/>
    <x v="8"/>
    <x v="0"/>
    <n v="3"/>
    <n v="89.99"/>
    <x v="1"/>
    <s v="North"/>
    <x v="2"/>
    <x v="130"/>
    <n v="269.97000000000003"/>
  </r>
  <r>
    <s v="TRX0057"/>
    <x v="91"/>
    <s v="CUST023"/>
    <s v="Paul Baker"/>
    <s v="P009"/>
    <x v="0"/>
    <x v="0"/>
    <n v="5"/>
    <n v="249.99"/>
    <x v="1"/>
    <s v="South"/>
    <x v="2"/>
    <x v="131"/>
    <n v="1249.95"/>
  </r>
  <r>
    <s v="TRX0017"/>
    <x v="92"/>
    <s v="CUST026"/>
    <s v="Karen Hill"/>
    <s v="P007"/>
    <x v="6"/>
    <x v="2"/>
    <n v="3"/>
    <n v="299.99"/>
    <x v="1"/>
    <s v="South"/>
    <x v="2"/>
    <x v="132"/>
    <n v="899.97"/>
  </r>
  <r>
    <s v="TRX0060"/>
    <x v="93"/>
    <s v="CUST012"/>
    <s v="Patricia Moore"/>
    <s v="P010"/>
    <x v="8"/>
    <x v="0"/>
    <n v="3"/>
    <n v="89.99"/>
    <x v="1"/>
    <s v="North"/>
    <x v="1"/>
    <x v="133"/>
    <n v="269.97000000000003"/>
  </r>
  <r>
    <s v="TRX0109"/>
    <x v="94"/>
    <s v="CUST010"/>
    <s v="Maria Garcia"/>
    <s v="P008"/>
    <x v="2"/>
    <x v="2"/>
    <n v="2"/>
    <n v="149.99"/>
    <x v="1"/>
    <s v="West"/>
    <x v="1"/>
    <x v="134"/>
    <n v="299.98"/>
  </r>
  <r>
    <s v="TRX0090"/>
    <x v="95"/>
    <s v="CUST020"/>
    <s v="Margaret Wright"/>
    <s v="P009"/>
    <x v="0"/>
    <x v="0"/>
    <n v="1"/>
    <n v="249.99"/>
    <x v="1"/>
    <s v="North"/>
    <x v="1"/>
    <x v="135"/>
    <n v="249.99"/>
  </r>
  <r>
    <s v="TRX0035"/>
    <x v="96"/>
    <s v="CUST041"/>
    <s v="Peter Richardson"/>
    <s v="P003"/>
    <x v="3"/>
    <x v="0"/>
    <n v="3"/>
    <n v="149.99"/>
    <x v="0"/>
    <s v="North"/>
    <x v="0"/>
    <x v="136"/>
    <n v="449.97"/>
  </r>
  <r>
    <s v="TRX0172"/>
    <x v="96"/>
    <s v="CUST023"/>
    <s v="Paul Baker"/>
    <s v="P005"/>
    <x v="1"/>
    <x v="1"/>
    <n v="5"/>
    <n v="59.99"/>
    <x v="2"/>
    <s v="West"/>
    <x v="1"/>
    <x v="137"/>
    <n v="299.95"/>
  </r>
  <r>
    <s v="TRX0076"/>
    <x v="96"/>
    <s v="CUST012"/>
    <s v="Patricia Moore"/>
    <s v="P009"/>
    <x v="0"/>
    <x v="0"/>
    <n v="4"/>
    <n v="249.99"/>
    <x v="1"/>
    <s v="West"/>
    <x v="2"/>
    <x v="138"/>
    <n v="999.96"/>
  </r>
  <r>
    <s v="TRX0210"/>
    <x v="97"/>
    <s v="CUST004"/>
    <s v="Sarah Davis"/>
    <s v="P008"/>
    <x v="2"/>
    <x v="2"/>
    <n v="5"/>
    <n v="149.99"/>
    <x v="2"/>
    <s v="Central"/>
    <x v="0"/>
    <x v="139"/>
    <n v="749.95"/>
  </r>
  <r>
    <s v="TRX0149"/>
    <x v="97"/>
    <s v="CUST027"/>
    <s v="George Adams"/>
    <s v="P005"/>
    <x v="1"/>
    <x v="1"/>
    <n v="3"/>
    <n v="59.99"/>
    <x v="3"/>
    <s v="South"/>
    <x v="2"/>
    <x v="140"/>
    <n v="179.97"/>
  </r>
  <r>
    <s v="TRX0073"/>
    <x v="98"/>
    <s v="CUST032"/>
    <s v="Sandra Phillips"/>
    <s v="P008"/>
    <x v="2"/>
    <x v="2"/>
    <n v="5"/>
    <n v="149.99"/>
    <x v="0"/>
    <s v="North"/>
    <x v="0"/>
    <x v="141"/>
    <n v="749.95"/>
  </r>
  <r>
    <s v="TRX0033"/>
    <x v="98"/>
    <s v="CUST025"/>
    <s v="Mark Carter"/>
    <s v="P002"/>
    <x v="5"/>
    <x v="0"/>
    <n v="2"/>
    <n v="699.99"/>
    <x v="2"/>
    <s v="West"/>
    <x v="2"/>
    <x v="142"/>
    <n v="1399.98"/>
  </r>
  <r>
    <s v="TRX0160"/>
    <x v="99"/>
    <s v="CUST029"/>
    <s v="Edward Mitchell"/>
    <s v="P006"/>
    <x v="9"/>
    <x v="2"/>
    <n v="4"/>
    <n v="199.99"/>
    <x v="3"/>
    <s v="Central"/>
    <x v="1"/>
    <x v="143"/>
    <n v="799.96"/>
  </r>
  <r>
    <s v="TRX0145"/>
    <x v="100"/>
    <s v="CUST033"/>
    <s v="Frank Torres"/>
    <s v="P005"/>
    <x v="1"/>
    <x v="1"/>
    <n v="1"/>
    <n v="59.99"/>
    <x v="3"/>
    <s v="West"/>
    <x v="2"/>
    <x v="144"/>
    <n v="59.99"/>
  </r>
  <r>
    <s v="TRX0148"/>
    <x v="100"/>
    <s v="CUST004"/>
    <s v="Sarah Davis"/>
    <s v="P002"/>
    <x v="5"/>
    <x v="0"/>
    <n v="3"/>
    <n v="699.99"/>
    <x v="2"/>
    <s v="West"/>
    <x v="2"/>
    <x v="145"/>
    <n v="2099.9699999999998"/>
  </r>
  <r>
    <s v="TRX0012"/>
    <x v="101"/>
    <s v="CUST045"/>
    <s v="Douglas Watson"/>
    <s v="P009"/>
    <x v="0"/>
    <x v="0"/>
    <n v="5"/>
    <n v="249.99"/>
    <x v="1"/>
    <s v="North"/>
    <x v="0"/>
    <x v="146"/>
    <n v="1249.95"/>
  </r>
  <r>
    <s v="TRX0206"/>
    <x v="102"/>
    <s v="CUST014"/>
    <s v="Linda Martin"/>
    <s v="P008"/>
    <x v="2"/>
    <x v="2"/>
    <n v="2"/>
    <n v="149.99"/>
    <x v="0"/>
    <s v="South"/>
    <x v="2"/>
    <x v="147"/>
    <n v="299.98"/>
  </r>
  <r>
    <s v="TRX0045"/>
    <x v="103"/>
    <s v="CUST021"/>
    <s v="Kevin Scott"/>
    <s v="P007"/>
    <x v="6"/>
    <x v="2"/>
    <n v="3"/>
    <n v="299.99"/>
    <x v="0"/>
    <s v="South"/>
    <x v="1"/>
    <x v="138"/>
    <n v="899.97"/>
  </r>
  <r>
    <s v="TRX0094"/>
    <x v="103"/>
    <s v="CUST017"/>
    <s v="Charles Allen"/>
    <s v="P009"/>
    <x v="0"/>
    <x v="0"/>
    <n v="5"/>
    <n v="249.99"/>
    <x v="0"/>
    <s v="Central"/>
    <x v="1"/>
    <x v="148"/>
    <n v="1249.95"/>
  </r>
  <r>
    <s v="TRX0133"/>
    <x v="103"/>
    <s v="CUST013"/>
    <s v="Joseph Jackson"/>
    <s v="P003"/>
    <x v="3"/>
    <x v="0"/>
    <n v="2"/>
    <n v="149.99"/>
    <x v="0"/>
    <s v="South"/>
    <x v="1"/>
    <x v="149"/>
    <n v="299.98"/>
  </r>
  <r>
    <s v="TRX0201"/>
    <x v="103"/>
    <s v="CUST025"/>
    <s v="Mark Carter"/>
    <s v="P002"/>
    <x v="5"/>
    <x v="0"/>
    <n v="5"/>
    <n v="699.99"/>
    <x v="3"/>
    <s v="West"/>
    <x v="2"/>
    <x v="150"/>
    <n v="3499.95"/>
  </r>
  <r>
    <s v="TRX0137"/>
    <x v="104"/>
    <s v="CUST011"/>
    <s v="William White"/>
    <s v="P009"/>
    <x v="0"/>
    <x v="0"/>
    <n v="4"/>
    <n v="249.99"/>
    <x v="2"/>
    <s v="East"/>
    <x v="1"/>
    <x v="151"/>
    <n v="999.96"/>
  </r>
  <r>
    <s v="TRX0066"/>
    <x v="105"/>
    <s v="CUST024"/>
    <s v="Dorothy Nelson"/>
    <s v="P002"/>
    <x v="5"/>
    <x v="0"/>
    <n v="4"/>
    <n v="699.99"/>
    <x v="1"/>
    <s v="North"/>
    <x v="1"/>
    <x v="152"/>
    <n v="2799.96"/>
  </r>
  <r>
    <s v="TRX0180"/>
    <x v="106"/>
    <s v="CUST036"/>
    <s v="Nancy Collins"/>
    <s v="P009"/>
    <x v="0"/>
    <x v="0"/>
    <n v="2"/>
    <n v="249.99"/>
    <x v="1"/>
    <s v="Central"/>
    <x v="1"/>
    <x v="153"/>
    <n v="499.98"/>
  </r>
  <r>
    <s v="TRX0082"/>
    <x v="106"/>
    <s v="CUST005"/>
    <s v="James Johnson"/>
    <s v="P005"/>
    <x v="1"/>
    <x v="1"/>
    <n v="3"/>
    <n v="59.99"/>
    <x v="0"/>
    <s v="Central"/>
    <x v="1"/>
    <x v="154"/>
    <n v="179.97"/>
  </r>
  <r>
    <s v="TRX0036"/>
    <x v="106"/>
    <s v="CUST008"/>
    <s v="Jennifer Taylor"/>
    <s v="P004"/>
    <x v="7"/>
    <x v="1"/>
    <n v="4"/>
    <n v="79.989999999999995"/>
    <x v="3"/>
    <s v="East"/>
    <x v="2"/>
    <x v="155"/>
    <n v="319.95999999999998"/>
  </r>
  <r>
    <s v="TRX0198"/>
    <x v="107"/>
    <s v="CUST030"/>
    <s v="Helen Roberts"/>
    <s v="P004"/>
    <x v="7"/>
    <x v="1"/>
    <n v="3"/>
    <n v="79.989999999999995"/>
    <x v="3"/>
    <s v="East"/>
    <x v="2"/>
    <x v="96"/>
    <n v="239.97"/>
  </r>
  <r>
    <s v="TRX0032"/>
    <x v="108"/>
    <s v="CUST041"/>
    <s v="Peter Richardson"/>
    <s v="P001"/>
    <x v="4"/>
    <x v="0"/>
    <n v="2"/>
    <n v="899.99"/>
    <x v="0"/>
    <s v="North"/>
    <x v="0"/>
    <x v="156"/>
    <n v="1799.98"/>
  </r>
  <r>
    <s v="TRX0081"/>
    <x v="109"/>
    <s v="CUST007"/>
    <s v="David Martinez"/>
    <s v="P008"/>
    <x v="2"/>
    <x v="2"/>
    <n v="1"/>
    <n v="149.99"/>
    <x v="3"/>
    <s v="East"/>
    <x v="2"/>
    <x v="157"/>
    <n v="149.99"/>
  </r>
  <r>
    <s v="TRX0224"/>
    <x v="109"/>
    <s v="CUST031"/>
    <s v="Steven Turner"/>
    <s v="P007"/>
    <x v="6"/>
    <x v="2"/>
    <n v="2"/>
    <n v="299.99"/>
    <x v="0"/>
    <s v="East"/>
    <x v="1"/>
    <x v="158"/>
    <n v="599.98"/>
  </r>
  <r>
    <s v="TRX0028"/>
    <x v="110"/>
    <s v="CUST002"/>
    <s v="Emma Wilson"/>
    <s v="P005"/>
    <x v="1"/>
    <x v="1"/>
    <n v="2"/>
    <n v="59.99"/>
    <x v="0"/>
    <s v="West"/>
    <x v="0"/>
    <x v="159"/>
    <n v="119.98"/>
  </r>
  <r>
    <s v="TRX0183"/>
    <x v="111"/>
    <s v="CUST007"/>
    <s v="David Martinez"/>
    <s v="P010"/>
    <x v="8"/>
    <x v="0"/>
    <n v="1"/>
    <n v="89.99"/>
    <x v="3"/>
    <s v="Central"/>
    <x v="2"/>
    <x v="160"/>
    <n v="89.99"/>
  </r>
  <r>
    <s v="TRX0163"/>
    <x v="111"/>
    <s v="CUST019"/>
    <s v="Daniel King"/>
    <s v="P001"/>
    <x v="4"/>
    <x v="0"/>
    <n v="5"/>
    <n v="899.99"/>
    <x v="3"/>
    <s v="East"/>
    <x v="2"/>
    <x v="161"/>
    <n v="4499.95"/>
  </r>
  <r>
    <s v="TRX0046"/>
    <x v="112"/>
    <s v="CUST003"/>
    <s v="Michael Brown"/>
    <s v="P008"/>
    <x v="2"/>
    <x v="2"/>
    <n v="2"/>
    <n v="149.99"/>
    <x v="0"/>
    <s v="South"/>
    <x v="0"/>
    <x v="162"/>
    <n v="299.98"/>
  </r>
  <r>
    <s v="TRX0164"/>
    <x v="113"/>
    <s v="CUST014"/>
    <s v="Linda Martin"/>
    <s v="P003"/>
    <x v="3"/>
    <x v="0"/>
    <n v="2"/>
    <n v="149.99"/>
    <x v="3"/>
    <s v="West"/>
    <x v="1"/>
    <x v="163"/>
    <n v="299.98"/>
  </r>
  <r>
    <s v="TRX0008"/>
    <x v="113"/>
    <s v="CUST007"/>
    <s v="David Martinez"/>
    <s v="P008"/>
    <x v="2"/>
    <x v="2"/>
    <n v="3"/>
    <n v="149.99"/>
    <x v="3"/>
    <s v="North"/>
    <x v="2"/>
    <x v="164"/>
    <n v="449.97"/>
  </r>
  <r>
    <s v="TRX0171"/>
    <x v="114"/>
    <s v="CUST021"/>
    <s v="Kevin Scott"/>
    <s v="P007"/>
    <x v="6"/>
    <x v="2"/>
    <n v="2"/>
    <n v="299.99"/>
    <x v="2"/>
    <s v="South"/>
    <x v="0"/>
    <x v="165"/>
    <n v="599.98"/>
  </r>
  <r>
    <s v="TRX0143"/>
    <x v="115"/>
    <s v="CUST003"/>
    <s v="Michael Brown"/>
    <s v="P007"/>
    <x v="6"/>
    <x v="2"/>
    <n v="2"/>
    <n v="299.99"/>
    <x v="0"/>
    <s v="West"/>
    <x v="0"/>
    <x v="166"/>
    <n v="599.98"/>
  </r>
  <r>
    <s v="TRX0165"/>
    <x v="115"/>
    <s v="CUST030"/>
    <s v="Helen Roberts"/>
    <s v="P006"/>
    <x v="9"/>
    <x v="2"/>
    <n v="4"/>
    <n v="199.99"/>
    <x v="1"/>
    <s v="Central"/>
    <x v="0"/>
    <x v="82"/>
    <n v="799.96"/>
  </r>
  <r>
    <s v="TRX0156"/>
    <x v="116"/>
    <s v="CUST009"/>
    <s v="Robert Thomas"/>
    <s v="P010"/>
    <x v="8"/>
    <x v="0"/>
    <n v="1"/>
    <n v="89.99"/>
    <x v="1"/>
    <s v="South"/>
    <x v="1"/>
    <x v="167"/>
    <n v="89.99"/>
  </r>
  <r>
    <s v="TRX0147"/>
    <x v="116"/>
    <s v="CUST036"/>
    <s v="Nancy Collins"/>
    <s v="P008"/>
    <x v="2"/>
    <x v="2"/>
    <n v="5"/>
    <n v="149.99"/>
    <x v="0"/>
    <s v="Central"/>
    <x v="1"/>
    <x v="168"/>
    <n v="749.95"/>
  </r>
  <r>
    <s v="TRX0207"/>
    <x v="117"/>
    <s v="CUST025"/>
    <s v="Mark Carter"/>
    <s v="P001"/>
    <x v="4"/>
    <x v="0"/>
    <n v="1"/>
    <n v="899.99"/>
    <x v="2"/>
    <s v="North"/>
    <x v="1"/>
    <x v="169"/>
    <n v="899.99"/>
  </r>
  <r>
    <s v="TRX0056"/>
    <x v="118"/>
    <s v="CUST019"/>
    <s v="Daniel King"/>
    <s v="P010"/>
    <x v="8"/>
    <x v="0"/>
    <n v="2"/>
    <n v="89.99"/>
    <x v="1"/>
    <s v="South"/>
    <x v="1"/>
    <x v="170"/>
    <n v="179.98"/>
  </r>
  <r>
    <s v="TRX0026"/>
    <x v="119"/>
    <s v="CUST037"/>
    <s v="Arthur Edwards"/>
    <s v="P001"/>
    <x v="4"/>
    <x v="0"/>
    <n v="1"/>
    <n v="899.99"/>
    <x v="2"/>
    <s v="North"/>
    <x v="2"/>
    <x v="171"/>
    <n v="899.99"/>
  </r>
  <r>
    <s v="TRX0237"/>
    <x v="120"/>
    <s v="CUST006"/>
    <s v="Lisa Anderson"/>
    <s v="P003"/>
    <x v="3"/>
    <x v="0"/>
    <n v="5"/>
    <n v="149.99"/>
    <x v="2"/>
    <s v="East"/>
    <x v="1"/>
    <x v="34"/>
    <n v="749.95"/>
  </r>
  <r>
    <s v="TRX0091"/>
    <x v="120"/>
    <s v="CUST003"/>
    <s v="Michael Brown"/>
    <s v="P007"/>
    <x v="6"/>
    <x v="2"/>
    <n v="3"/>
    <n v="299.99"/>
    <x v="0"/>
    <s v="South"/>
    <x v="2"/>
    <x v="172"/>
    <n v="899.97"/>
  </r>
  <r>
    <s v="TRX0125"/>
    <x v="121"/>
    <s v="CUST026"/>
    <s v="Karen Hill"/>
    <s v="P002"/>
    <x v="5"/>
    <x v="0"/>
    <n v="3"/>
    <n v="699.99"/>
    <x v="1"/>
    <s v="Central"/>
    <x v="1"/>
    <x v="173"/>
    <n v="2099.9699999999998"/>
  </r>
  <r>
    <s v="TRX0223"/>
    <x v="122"/>
    <s v="CUST036"/>
    <s v="Nancy Collins"/>
    <s v="P006"/>
    <x v="9"/>
    <x v="2"/>
    <n v="5"/>
    <n v="199.99"/>
    <x v="2"/>
    <s v="Central"/>
    <x v="2"/>
    <x v="174"/>
    <n v="999.95"/>
  </r>
  <r>
    <s v="TRX0243"/>
    <x v="122"/>
    <s v="CUST048"/>
    <s v="Virginia Sanders"/>
    <s v="P009"/>
    <x v="0"/>
    <x v="0"/>
    <n v="5"/>
    <n v="249.99"/>
    <x v="1"/>
    <s v="South"/>
    <x v="0"/>
    <x v="175"/>
    <n v="1249.95"/>
  </r>
  <r>
    <s v="TRX0084"/>
    <x v="123"/>
    <s v="CUST031"/>
    <s v="Steven Turner"/>
    <s v="P003"/>
    <x v="3"/>
    <x v="0"/>
    <n v="4"/>
    <n v="149.99"/>
    <x v="3"/>
    <s v="East"/>
    <x v="2"/>
    <x v="176"/>
    <n v="599.96"/>
  </r>
  <r>
    <s v="TRX0238"/>
    <x v="123"/>
    <s v="CUST038"/>
    <s v="Michelle Rogers"/>
    <s v="P002"/>
    <x v="5"/>
    <x v="0"/>
    <n v="3"/>
    <n v="699.99"/>
    <x v="0"/>
    <s v="North"/>
    <x v="1"/>
    <x v="177"/>
    <n v="2099.9699999999998"/>
  </r>
  <r>
    <s v="TRX0102"/>
    <x v="124"/>
    <s v="CUST045"/>
    <s v="Douglas Watson"/>
    <s v="P004"/>
    <x v="7"/>
    <x v="1"/>
    <n v="1"/>
    <n v="79.989999999999995"/>
    <x v="1"/>
    <s v="South"/>
    <x v="0"/>
    <x v="178"/>
    <n v="79.989999999999995"/>
  </r>
  <r>
    <s v="TRX0022"/>
    <x v="124"/>
    <s v="CUST025"/>
    <s v="Mark Carter"/>
    <s v="P007"/>
    <x v="6"/>
    <x v="2"/>
    <n v="1"/>
    <n v="299.99"/>
    <x v="1"/>
    <s v="North"/>
    <x v="0"/>
    <x v="179"/>
    <n v="299.99"/>
  </r>
  <r>
    <s v="TRX0087"/>
    <x v="125"/>
    <s v="CUST028"/>
    <s v="Betty Campbell"/>
    <s v="P009"/>
    <x v="0"/>
    <x v="0"/>
    <n v="4"/>
    <n v="249.99"/>
    <x v="1"/>
    <s v="North"/>
    <x v="1"/>
    <x v="116"/>
    <n v="999.96"/>
  </r>
  <r>
    <s v="TRX0107"/>
    <x v="125"/>
    <s v="CUST030"/>
    <s v="Helen Roberts"/>
    <s v="P003"/>
    <x v="3"/>
    <x v="0"/>
    <n v="2"/>
    <n v="149.99"/>
    <x v="0"/>
    <s v="North"/>
    <x v="2"/>
    <x v="180"/>
    <n v="299.98"/>
  </r>
  <r>
    <s v="TRX0051"/>
    <x v="125"/>
    <s v="CUST032"/>
    <s v="Sandra Phillips"/>
    <s v="P007"/>
    <x v="6"/>
    <x v="2"/>
    <n v="3"/>
    <n v="299.99"/>
    <x v="1"/>
    <s v="South"/>
    <x v="0"/>
    <x v="181"/>
    <n v="899.97"/>
  </r>
  <r>
    <s v="TRX0106"/>
    <x v="126"/>
    <s v="CUST039"/>
    <s v="Lawrence Reed"/>
    <s v="P006"/>
    <x v="9"/>
    <x v="2"/>
    <n v="4"/>
    <n v="199.99"/>
    <x v="3"/>
    <s v="South"/>
    <x v="2"/>
    <x v="182"/>
    <n v="799.96"/>
  </r>
  <r>
    <s v="TRX0059"/>
    <x v="126"/>
    <s v="CUST016"/>
    <s v="Elizabeth Hall"/>
    <s v="P007"/>
    <x v="6"/>
    <x v="2"/>
    <n v="5"/>
    <n v="299.99"/>
    <x v="3"/>
    <s v="Central"/>
    <x v="0"/>
    <x v="183"/>
    <n v="1499.95"/>
  </r>
  <r>
    <s v="TRX0072"/>
    <x v="126"/>
    <s v="CUST009"/>
    <s v="Robert Thomas"/>
    <s v="P008"/>
    <x v="2"/>
    <x v="2"/>
    <n v="3"/>
    <n v="149.99"/>
    <x v="1"/>
    <s v="East"/>
    <x v="2"/>
    <x v="184"/>
    <n v="449.97"/>
  </r>
  <r>
    <s v="TRX0110"/>
    <x v="127"/>
    <s v="CUST006"/>
    <s v="Lisa Anderson"/>
    <s v="P005"/>
    <x v="1"/>
    <x v="1"/>
    <n v="5"/>
    <n v="59.99"/>
    <x v="3"/>
    <s v="East"/>
    <x v="0"/>
    <x v="185"/>
    <n v="299.95"/>
  </r>
  <r>
    <s v="TRX0126"/>
    <x v="128"/>
    <s v="CUST022"/>
    <s v="Susan Green"/>
    <s v="P005"/>
    <x v="1"/>
    <x v="1"/>
    <n v="4"/>
    <n v="59.99"/>
    <x v="3"/>
    <s v="East"/>
    <x v="2"/>
    <x v="170"/>
    <n v="239.96"/>
  </r>
  <r>
    <s v="TRX0159"/>
    <x v="129"/>
    <s v="CUST024"/>
    <s v="Dorothy Nelson"/>
    <s v="P009"/>
    <x v="0"/>
    <x v="0"/>
    <n v="4"/>
    <n v="249.99"/>
    <x v="3"/>
    <s v="Central"/>
    <x v="1"/>
    <x v="186"/>
    <n v="999.96"/>
  </r>
  <r>
    <s v="TRX0030"/>
    <x v="130"/>
    <s v="CUST011"/>
    <s v="William White"/>
    <s v="P001"/>
    <x v="4"/>
    <x v="0"/>
    <n v="4"/>
    <n v="899.99"/>
    <x v="2"/>
    <s v="Central"/>
    <x v="0"/>
    <x v="187"/>
    <n v="3599.96"/>
  </r>
  <r>
    <s v="TRX0178"/>
    <x v="130"/>
    <s v="CUST025"/>
    <s v="Mark Carter"/>
    <s v="P007"/>
    <x v="6"/>
    <x v="2"/>
    <n v="3"/>
    <n v="299.99"/>
    <x v="3"/>
    <s v="West"/>
    <x v="2"/>
    <x v="188"/>
    <n v="899.97"/>
  </r>
  <r>
    <s v="TRX0188"/>
    <x v="130"/>
    <s v="CUST045"/>
    <s v="Douglas Watson"/>
    <s v="P002"/>
    <x v="5"/>
    <x v="0"/>
    <n v="2"/>
    <n v="699.99"/>
    <x v="3"/>
    <s v="Central"/>
    <x v="1"/>
    <x v="189"/>
    <n v="1399.98"/>
  </r>
  <r>
    <s v="TRX0010"/>
    <x v="131"/>
    <s v="CUST026"/>
    <s v="Karen Hill"/>
    <s v="P002"/>
    <x v="5"/>
    <x v="0"/>
    <n v="4"/>
    <n v="699.99"/>
    <x v="3"/>
    <s v="West"/>
    <x v="1"/>
    <x v="190"/>
    <n v="2799.96"/>
  </r>
  <r>
    <s v="TRX0069"/>
    <x v="131"/>
    <s v="CUST029"/>
    <s v="Edward Mitchell"/>
    <s v="P010"/>
    <x v="8"/>
    <x v="0"/>
    <n v="2"/>
    <n v="89.99"/>
    <x v="3"/>
    <s v="South"/>
    <x v="0"/>
    <x v="191"/>
    <n v="179.98"/>
  </r>
  <r>
    <s v="TRX0166"/>
    <x v="131"/>
    <s v="CUST003"/>
    <s v="Michael Brown"/>
    <s v="P010"/>
    <x v="8"/>
    <x v="0"/>
    <n v="3"/>
    <n v="89.99"/>
    <x v="3"/>
    <s v="South"/>
    <x v="1"/>
    <x v="192"/>
    <n v="269.97000000000003"/>
  </r>
  <r>
    <s v="TRX0219"/>
    <x v="132"/>
    <s v="CUST037"/>
    <s v="Arthur Edwards"/>
    <s v="P005"/>
    <x v="1"/>
    <x v="1"/>
    <n v="1"/>
    <n v="59.99"/>
    <x v="3"/>
    <s v="Central"/>
    <x v="2"/>
    <x v="193"/>
    <n v="59.99"/>
  </r>
  <r>
    <s v="TRX0024"/>
    <x v="133"/>
    <s v="CUST042"/>
    <s v="Ruth Brooks"/>
    <s v="P008"/>
    <x v="2"/>
    <x v="2"/>
    <n v="3"/>
    <n v="149.99"/>
    <x v="3"/>
    <s v="North"/>
    <x v="1"/>
    <x v="170"/>
    <n v="449.97"/>
  </r>
  <r>
    <s v="TRX0105"/>
    <x v="133"/>
    <s v="CUST048"/>
    <s v="Virginia Sanders"/>
    <s v="P007"/>
    <x v="6"/>
    <x v="2"/>
    <n v="5"/>
    <n v="299.99"/>
    <x v="1"/>
    <s v="South"/>
    <x v="0"/>
    <x v="194"/>
    <n v="1499.95"/>
  </r>
  <r>
    <s v="TRX0011"/>
    <x v="134"/>
    <s v="CUST040"/>
    <s v="Sharon Butler"/>
    <s v="P005"/>
    <x v="1"/>
    <x v="1"/>
    <n v="5"/>
    <n v="59.99"/>
    <x v="3"/>
    <s v="Central"/>
    <x v="2"/>
    <x v="195"/>
    <n v="299.95"/>
  </r>
  <r>
    <s v="TRX0187"/>
    <x v="135"/>
    <s v="CUST036"/>
    <s v="Nancy Collins"/>
    <s v="P004"/>
    <x v="7"/>
    <x v="1"/>
    <n v="3"/>
    <n v="79.989999999999995"/>
    <x v="0"/>
    <s v="East"/>
    <x v="1"/>
    <x v="179"/>
    <n v="239.97"/>
  </r>
  <r>
    <s v="TRX0089"/>
    <x v="136"/>
    <s v="CUST021"/>
    <s v="Kevin Scott"/>
    <s v="P006"/>
    <x v="9"/>
    <x v="2"/>
    <n v="3"/>
    <n v="199.99"/>
    <x v="0"/>
    <s v="Central"/>
    <x v="0"/>
    <x v="196"/>
    <n v="599.97"/>
  </r>
  <r>
    <s v="TRX0196"/>
    <x v="136"/>
    <s v="CUST023"/>
    <s v="Paul Baker"/>
    <s v="P010"/>
    <x v="8"/>
    <x v="0"/>
    <n v="2"/>
    <n v="89.99"/>
    <x v="2"/>
    <s v="Central"/>
    <x v="0"/>
    <x v="197"/>
    <n v="179.98"/>
  </r>
  <r>
    <s v="TRX0118"/>
    <x v="137"/>
    <s v="CUST015"/>
    <s v="Richard Lee"/>
    <s v="P008"/>
    <x v="2"/>
    <x v="2"/>
    <n v="2"/>
    <n v="149.99"/>
    <x v="0"/>
    <s v="South"/>
    <x v="1"/>
    <x v="198"/>
    <n v="299.98"/>
  </r>
  <r>
    <s v="TRX0179"/>
    <x v="138"/>
    <s v="CUST029"/>
    <s v="Edward Mitchell"/>
    <s v="P002"/>
    <x v="5"/>
    <x v="0"/>
    <n v="5"/>
    <n v="699.99"/>
    <x v="2"/>
    <s v="South"/>
    <x v="1"/>
    <x v="54"/>
    <n v="3499.95"/>
  </r>
  <r>
    <s v="TRX0168"/>
    <x v="138"/>
    <s v="CUST003"/>
    <s v="Michael Brown"/>
    <s v="P008"/>
    <x v="2"/>
    <x v="2"/>
    <n v="3"/>
    <n v="149.99"/>
    <x v="2"/>
    <s v="Central"/>
    <x v="2"/>
    <x v="174"/>
    <n v="449.97"/>
  </r>
  <r>
    <s v="TRX0214"/>
    <x v="139"/>
    <s v="CUST018"/>
    <s v="Barbara Young"/>
    <s v="P001"/>
    <x v="4"/>
    <x v="0"/>
    <n v="3"/>
    <n v="899.99"/>
    <x v="0"/>
    <s v="East"/>
    <x v="2"/>
    <x v="199"/>
    <n v="2699.97"/>
  </r>
  <r>
    <s v="TRX0221"/>
    <x v="139"/>
    <s v="CUST033"/>
    <s v="Frank Torres"/>
    <s v="P006"/>
    <x v="9"/>
    <x v="2"/>
    <n v="3"/>
    <n v="199.99"/>
    <x v="0"/>
    <s v="West"/>
    <x v="1"/>
    <x v="31"/>
    <n v="599.97"/>
  </r>
  <r>
    <s v="TRX0083"/>
    <x v="140"/>
    <s v="CUST017"/>
    <s v="Charles Allen"/>
    <s v="P007"/>
    <x v="6"/>
    <x v="2"/>
    <n v="5"/>
    <n v="299.99"/>
    <x v="0"/>
    <s v="West"/>
    <x v="2"/>
    <x v="200"/>
    <n v="1499.95"/>
  </r>
  <r>
    <s v="TRX0151"/>
    <x v="140"/>
    <s v="CUST040"/>
    <s v="Sharon Butler"/>
    <s v="P002"/>
    <x v="5"/>
    <x v="0"/>
    <n v="1"/>
    <n v="699.99"/>
    <x v="2"/>
    <s v="West"/>
    <x v="0"/>
    <x v="201"/>
    <n v="699.99"/>
  </r>
  <r>
    <s v="TRX0047"/>
    <x v="141"/>
    <s v="CUST042"/>
    <s v="Ruth Brooks"/>
    <s v="P002"/>
    <x v="5"/>
    <x v="0"/>
    <n v="1"/>
    <n v="699.99"/>
    <x v="0"/>
    <s v="North"/>
    <x v="1"/>
    <x v="145"/>
    <n v="699.99"/>
  </r>
  <r>
    <s v="TRX0200"/>
    <x v="141"/>
    <s v="CUST037"/>
    <s v="Arthur Edwards"/>
    <s v="P008"/>
    <x v="2"/>
    <x v="2"/>
    <n v="4"/>
    <n v="149.99"/>
    <x v="2"/>
    <s v="North"/>
    <x v="1"/>
    <x v="30"/>
    <n v="599.96"/>
  </r>
  <r>
    <s v="TRX0062"/>
    <x v="141"/>
    <s v="CUST016"/>
    <s v="Elizabeth Hall"/>
    <s v="P010"/>
    <x v="8"/>
    <x v="0"/>
    <n v="5"/>
    <n v="89.99"/>
    <x v="2"/>
    <s v="West"/>
    <x v="1"/>
    <x v="202"/>
    <n v="449.95"/>
  </r>
  <r>
    <s v="TRX0182"/>
    <x v="142"/>
    <s v="CUST031"/>
    <s v="Steven Turner"/>
    <s v="P006"/>
    <x v="9"/>
    <x v="2"/>
    <n v="2"/>
    <n v="199.99"/>
    <x v="0"/>
    <s v="Central"/>
    <x v="1"/>
    <x v="203"/>
    <n v="399.98"/>
  </r>
  <r>
    <s v="TRX0229"/>
    <x v="143"/>
    <s v="CUST015"/>
    <s v="Richard Lee"/>
    <s v="P005"/>
    <x v="1"/>
    <x v="1"/>
    <n v="4"/>
    <n v="59.99"/>
    <x v="0"/>
    <s v="West"/>
    <x v="2"/>
    <x v="204"/>
    <n v="239.96"/>
  </r>
  <r>
    <s v="TRX0048"/>
    <x v="143"/>
    <s v="CUST048"/>
    <s v="Virginia Sanders"/>
    <s v="P007"/>
    <x v="6"/>
    <x v="2"/>
    <n v="2"/>
    <n v="299.99"/>
    <x v="2"/>
    <s v="South"/>
    <x v="0"/>
    <x v="205"/>
    <n v="599.98"/>
  </r>
  <r>
    <s v="TRX0227"/>
    <x v="144"/>
    <s v="CUST017"/>
    <s v="Charles Allen"/>
    <s v="P008"/>
    <x v="2"/>
    <x v="2"/>
    <n v="2"/>
    <n v="149.99"/>
    <x v="0"/>
    <s v="Central"/>
    <x v="0"/>
    <x v="32"/>
    <n v="299.98"/>
  </r>
  <r>
    <s v="TRX0226"/>
    <x v="145"/>
    <s v="CUST039"/>
    <s v="Lawrence Reed"/>
    <s v="P002"/>
    <x v="5"/>
    <x v="0"/>
    <n v="5"/>
    <n v="699.99"/>
    <x v="3"/>
    <s v="East"/>
    <x v="1"/>
    <x v="65"/>
    <n v="3499.95"/>
  </r>
  <r>
    <s v="TRX0053"/>
    <x v="146"/>
    <s v="CUST043"/>
    <s v="Dennis Gray"/>
    <s v="P005"/>
    <x v="1"/>
    <x v="1"/>
    <n v="5"/>
    <n v="59.99"/>
    <x v="0"/>
    <s v="West"/>
    <x v="1"/>
    <x v="206"/>
    <n v="299.95"/>
  </r>
  <r>
    <s v="TRX0233"/>
    <x v="147"/>
    <s v="CUST023"/>
    <s v="Paul Baker"/>
    <s v="P010"/>
    <x v="8"/>
    <x v="0"/>
    <n v="2"/>
    <n v="89.99"/>
    <x v="1"/>
    <s v="West"/>
    <x v="1"/>
    <x v="4"/>
    <n v="179.98"/>
  </r>
  <r>
    <s v="TRX0175"/>
    <x v="147"/>
    <s v="CUST030"/>
    <s v="Helen Roberts"/>
    <s v="P009"/>
    <x v="0"/>
    <x v="0"/>
    <n v="5"/>
    <n v="249.99"/>
    <x v="0"/>
    <s v="East"/>
    <x v="2"/>
    <x v="207"/>
    <n v="1249.95"/>
  </r>
  <r>
    <s v="TRX0186"/>
    <x v="148"/>
    <s v="CUST039"/>
    <s v="Lawrence Reed"/>
    <s v="P008"/>
    <x v="2"/>
    <x v="2"/>
    <n v="2"/>
    <n v="149.99"/>
    <x v="2"/>
    <s v="Central"/>
    <x v="1"/>
    <x v="208"/>
    <n v="299.98"/>
  </r>
  <r>
    <s v="TRX0016"/>
    <x v="148"/>
    <s v="CUST035"/>
    <s v="Harry Morgan"/>
    <s v="P001"/>
    <x v="4"/>
    <x v="0"/>
    <n v="5"/>
    <n v="899.99"/>
    <x v="2"/>
    <s v="East"/>
    <x v="1"/>
    <x v="64"/>
    <n v="4499.95"/>
  </r>
  <r>
    <s v="TRX0199"/>
    <x v="148"/>
    <s v="CUST017"/>
    <s v="Charles Allen"/>
    <s v="P008"/>
    <x v="2"/>
    <x v="2"/>
    <n v="4"/>
    <n v="149.99"/>
    <x v="0"/>
    <s v="Central"/>
    <x v="2"/>
    <x v="209"/>
    <n v="599.96"/>
  </r>
  <r>
    <s v="TRX0038"/>
    <x v="149"/>
    <s v="CUST035"/>
    <s v="Harry Morgan"/>
    <s v="P009"/>
    <x v="0"/>
    <x v="0"/>
    <n v="1"/>
    <n v="249.99"/>
    <x v="0"/>
    <s v="North"/>
    <x v="2"/>
    <x v="210"/>
    <n v="249.99"/>
  </r>
  <r>
    <s v="TRX0014"/>
    <x v="150"/>
    <s v="CUST033"/>
    <s v="Frank Torres"/>
    <s v="P005"/>
    <x v="1"/>
    <x v="1"/>
    <n v="2"/>
    <n v="59.99"/>
    <x v="1"/>
    <s v="West"/>
    <x v="0"/>
    <x v="211"/>
    <n v="119.98"/>
  </r>
  <r>
    <s v="TRX0003"/>
    <x v="151"/>
    <s v="CUST002"/>
    <s v="Emma Wilson"/>
    <s v="P008"/>
    <x v="2"/>
    <x v="2"/>
    <n v="2"/>
    <n v="149.99"/>
    <x v="0"/>
    <s v="West"/>
    <x v="1"/>
    <x v="212"/>
    <n v="299.98"/>
  </r>
  <r>
    <s v="TRX0124"/>
    <x v="151"/>
    <s v="CUST040"/>
    <s v="Sharon Butler"/>
    <s v="P001"/>
    <x v="4"/>
    <x v="0"/>
    <n v="3"/>
    <n v="899.99"/>
    <x v="3"/>
    <s v="North"/>
    <x v="1"/>
    <x v="213"/>
    <n v="2699.97"/>
  </r>
  <r>
    <s v="TRX0013"/>
    <x v="151"/>
    <s v="CUST024"/>
    <s v="Dorothy Nelson"/>
    <s v="P001"/>
    <x v="4"/>
    <x v="0"/>
    <n v="3"/>
    <n v="899.99"/>
    <x v="2"/>
    <s v="North"/>
    <x v="0"/>
    <x v="214"/>
    <n v="2699.97"/>
  </r>
  <r>
    <s v="TRX0019"/>
    <x v="152"/>
    <s v="CUST023"/>
    <s v="Paul Baker"/>
    <s v="P007"/>
    <x v="6"/>
    <x v="2"/>
    <n v="3"/>
    <n v="299.99"/>
    <x v="1"/>
    <s v="West"/>
    <x v="1"/>
    <x v="215"/>
    <n v="899.97"/>
  </r>
  <r>
    <s v="TRX0050"/>
    <x v="153"/>
    <s v="CUST001"/>
    <s v="John Smith"/>
    <s v="P008"/>
    <x v="2"/>
    <x v="2"/>
    <n v="4"/>
    <n v="149.99"/>
    <x v="2"/>
    <s v="West"/>
    <x v="2"/>
    <x v="144"/>
    <n v="599.96"/>
  </r>
  <r>
    <s v="TRX0152"/>
    <x v="154"/>
    <s v="CUST044"/>
    <s v="Cynthia Price"/>
    <s v="P004"/>
    <x v="7"/>
    <x v="1"/>
    <n v="4"/>
    <n v="79.989999999999995"/>
    <x v="1"/>
    <s v="Central"/>
    <x v="0"/>
    <x v="216"/>
    <n v="319.95999999999998"/>
  </r>
  <r>
    <s v="TRX0213"/>
    <x v="155"/>
    <s v="CUST020"/>
    <s v="Margaret Wright"/>
    <s v="P010"/>
    <x v="8"/>
    <x v="0"/>
    <n v="5"/>
    <n v="89.99"/>
    <x v="2"/>
    <s v="South"/>
    <x v="0"/>
    <x v="217"/>
    <n v="449.95"/>
  </r>
  <r>
    <s v="TRX0197"/>
    <x v="156"/>
    <s v="CUST048"/>
    <s v="Virginia Sanders"/>
    <s v="P008"/>
    <x v="2"/>
    <x v="2"/>
    <n v="3"/>
    <n v="149.99"/>
    <x v="2"/>
    <s v="Central"/>
    <x v="2"/>
    <x v="218"/>
    <n v="449.97"/>
  </r>
  <r>
    <s v="TRX0250"/>
    <x v="156"/>
    <s v="CUST026"/>
    <s v="Karen Hill"/>
    <s v="P010"/>
    <x v="8"/>
    <x v="0"/>
    <n v="2"/>
    <n v="89.99"/>
    <x v="3"/>
    <s v="West"/>
    <x v="1"/>
    <x v="164"/>
    <n v="179.98"/>
  </r>
  <r>
    <s v="TRX0068"/>
    <x v="157"/>
    <s v="CUST044"/>
    <s v="Cynthia Price"/>
    <s v="P002"/>
    <x v="5"/>
    <x v="0"/>
    <n v="2"/>
    <n v="699.99"/>
    <x v="2"/>
    <s v="North"/>
    <x v="2"/>
    <x v="111"/>
    <n v="1399.98"/>
  </r>
  <r>
    <s v="TRX0144"/>
    <x v="158"/>
    <s v="CUST029"/>
    <s v="Edward Mitchell"/>
    <s v="P001"/>
    <x v="4"/>
    <x v="0"/>
    <n v="3"/>
    <n v="899.99"/>
    <x v="0"/>
    <s v="Central"/>
    <x v="2"/>
    <x v="115"/>
    <n v="2699.97"/>
  </r>
  <r>
    <s v="TRX0039"/>
    <x v="159"/>
    <s v="CUST048"/>
    <s v="Virginia Sanders"/>
    <s v="P004"/>
    <x v="7"/>
    <x v="1"/>
    <n v="3"/>
    <n v="79.989999999999995"/>
    <x v="1"/>
    <s v="North"/>
    <x v="0"/>
    <x v="219"/>
    <n v="239.97"/>
  </r>
  <r>
    <s v="TRX0116"/>
    <x v="160"/>
    <s v="CUST009"/>
    <s v="Robert Thomas"/>
    <s v="P010"/>
    <x v="8"/>
    <x v="0"/>
    <n v="1"/>
    <n v="89.99"/>
    <x v="3"/>
    <s v="East"/>
    <x v="0"/>
    <x v="220"/>
    <n v="89.99"/>
  </r>
  <r>
    <s v="TRX0120"/>
    <x v="161"/>
    <s v="CUST045"/>
    <s v="Douglas Watson"/>
    <s v="P002"/>
    <x v="5"/>
    <x v="0"/>
    <n v="3"/>
    <n v="699.99"/>
    <x v="2"/>
    <s v="North"/>
    <x v="0"/>
    <x v="67"/>
    <n v="2099.9699999999998"/>
  </r>
  <r>
    <s v="TRX0103"/>
    <x v="161"/>
    <s v="CUST039"/>
    <s v="Lawrence Reed"/>
    <s v="P010"/>
    <x v="8"/>
    <x v="0"/>
    <n v="2"/>
    <n v="89.99"/>
    <x v="3"/>
    <s v="East"/>
    <x v="0"/>
    <x v="221"/>
    <n v="179.98"/>
  </r>
  <r>
    <s v="TRX0064"/>
    <x v="161"/>
    <s v="CUST031"/>
    <s v="Steven Turner"/>
    <s v="P010"/>
    <x v="8"/>
    <x v="0"/>
    <n v="3"/>
    <n v="89.99"/>
    <x v="3"/>
    <s v="North"/>
    <x v="1"/>
    <x v="222"/>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s v="Electronics"/>
    <n v="3"/>
    <n v="249.99"/>
    <s v="Cash"/>
    <x v="0"/>
    <s v="Basic"/>
    <d v="2021-08-17T00:00:00"/>
    <n v="749.97"/>
    <n v="2"/>
    <d v="2025-12-15T15:27:50"/>
    <s v="Mon"/>
    <s v="CUST023"/>
    <n v="8309.739999999998"/>
  </r>
  <r>
    <s v="TRX0023"/>
    <d v="2024-04-14T00:00:00"/>
    <s v="CUST013"/>
    <s v="Joseph Jackson"/>
    <s v="P009"/>
    <s v="Monitor"/>
    <s v="Electronics"/>
    <n v="3"/>
    <n v="249.99"/>
    <s v="Credit Card"/>
    <x v="0"/>
    <s v="Premium"/>
    <d v="2022-01-14T00:00:00"/>
    <n v="749.97"/>
    <n v="2"/>
    <d v="2025-12-15T15:27:50"/>
    <s v="Mon"/>
    <s v="CUST013"/>
    <n v="6949.84"/>
  </r>
  <r>
    <s v="TRX0139"/>
    <d v="2024-04-17T00:00:00"/>
    <s v="CUST021"/>
    <s v="Kevin Scott"/>
    <s v="P005"/>
    <s v="Blender"/>
    <s v="Appliances"/>
    <n v="3"/>
    <n v="59.99"/>
    <s v="PayPal"/>
    <x v="1"/>
    <s v="Standard"/>
    <d v="2023-12-02T00:00:00"/>
    <n v="179.97"/>
    <n v="0"/>
    <d v="2025-12-15T15:27:50"/>
    <s v="Ble"/>
    <s v="CUST021"/>
    <n v="3259.87"/>
  </r>
  <r>
    <s v="TRX0043"/>
    <d v="2024-04-18T00:00:00"/>
    <s v="CUST046"/>
    <s v="Kathleen Bennett"/>
    <s v="P005"/>
    <s v="Blender"/>
    <s v="Appliances"/>
    <n v="3"/>
    <n v="59.99"/>
    <s v="Cash"/>
    <x v="2"/>
    <s v="Premium"/>
    <d v="2023-07-07T00:00:00"/>
    <n v="179.97"/>
    <n v="0"/>
    <d v="2025-12-15T15:27:50"/>
    <s v="Ble"/>
    <s v="CUST046"/>
    <n v="4309.8099999999995"/>
  </r>
  <r>
    <s v="TRX0212"/>
    <d v="2024-04-18T00:00:00"/>
    <s v="CUST003"/>
    <s v="Michael Brown"/>
    <s v="P008"/>
    <s v="Bookshelf"/>
    <s v="Furniture"/>
    <n v="5"/>
    <n v="149.99"/>
    <s v="Credit Card"/>
    <x v="2"/>
    <s v="Premium"/>
    <d v="2024-01-04T00:00:00"/>
    <n v="749.95"/>
    <n v="0"/>
    <d v="2025-12-15T15:27:50"/>
    <s v="Boo"/>
    <s v="CUST003"/>
    <n v="6169.7400000000007"/>
  </r>
  <r>
    <s v="TRX0092"/>
    <d v="2024-04-21T00:00:00"/>
    <s v="CUST024"/>
    <s v="Dorothy Nelson"/>
    <s v="P005"/>
    <s v="Blender"/>
    <s v="Appliances"/>
    <n v="2"/>
    <n v="59.99"/>
    <s v="Cash"/>
    <x v="3"/>
    <s v="Standard"/>
    <d v="2022-07-04T00:00:00"/>
    <n v="119.98"/>
    <n v="1"/>
    <d v="2025-12-15T15:27:50"/>
    <s v="Ble"/>
    <s v="CUST024"/>
    <n v="8269.7900000000009"/>
  </r>
  <r>
    <s v="TRX0193"/>
    <d v="2024-04-21T00:00:00"/>
    <s v="CUST024"/>
    <s v="Dorothy Nelson"/>
    <s v="P003"/>
    <s v="Headphones"/>
    <s v="Electronics"/>
    <n v="5"/>
    <n v="149.99"/>
    <s v="Credit Card"/>
    <x v="0"/>
    <s v="Standard"/>
    <d v="2021-08-10T00:00:00"/>
    <n v="749.95"/>
    <n v="2"/>
    <d v="2025-12-15T15:27:50"/>
    <s v="Hea"/>
    <s v="CUST017"/>
    <n v="5089.7300000000005"/>
  </r>
  <r>
    <s v="TRX0240"/>
    <d v="2024-04-21T00:00:00"/>
    <s v="CUST017"/>
    <s v="Charles Allen"/>
    <s v="P005"/>
    <s v="Blender"/>
    <s v="Appliances"/>
    <n v="3"/>
    <n v="59.99"/>
    <s v="Debit Card"/>
    <x v="1"/>
    <s v="Basic"/>
    <d v="2023-03-22T00:00:00"/>
    <n v="179.97"/>
    <n v="1"/>
    <d v="2025-12-15T15:27:50"/>
    <s v="Ble"/>
    <s v="CUST009"/>
    <n v="3509.8999999999996"/>
  </r>
  <r>
    <s v="TRX0135"/>
    <d v="2024-04-23T00:00:00"/>
    <s v="CUST009"/>
    <s v="Robert Thomas"/>
    <s v="P001"/>
    <s v="Laptop"/>
    <s v="Electronics"/>
    <n v="3"/>
    <n v="899.99"/>
    <s v="PayPal"/>
    <x v="4"/>
    <s v="Standard"/>
    <d v="2024-01-08T00:00:00"/>
    <n v="2699.97"/>
    <n v="0"/>
    <d v="2025-12-15T15:27:50"/>
    <s v="Lap"/>
    <s v="CUST026"/>
    <n v="8009.7699999999995"/>
  </r>
  <r>
    <s v="TRX0185"/>
    <d v="2024-04-26T00:00:00"/>
    <s v="CUST026"/>
    <s v="Karen Hill"/>
    <s v="P005"/>
    <s v="Blender"/>
    <s v="Appliances"/>
    <n v="3"/>
    <n v="59.99"/>
    <s v="Cash"/>
    <x v="3"/>
    <s v="Premium"/>
    <d v="2023-10-08T00:00:00"/>
    <n v="179.97"/>
    <n v="0"/>
    <d v="2025-12-15T15:27:50"/>
    <s v="Ble"/>
    <s v="CUST022"/>
    <n v="1979.89"/>
  </r>
  <r>
    <s v="TRX0138"/>
    <d v="2024-04-26T00:00:00"/>
    <s v="CUST022"/>
    <s v="Susan Green"/>
    <s v="P008"/>
    <s v="Bookshelf"/>
    <s v="Furniture"/>
    <n v="1"/>
    <n v="149.99"/>
    <s v="Credit Card"/>
    <x v="3"/>
    <s v="Standard"/>
    <d v="2023-06-26T00:00:00"/>
    <n v="149.99"/>
    <n v="0"/>
    <d v="2025-12-15T15:27:50"/>
    <s v="Boo"/>
    <s v="CUST041"/>
    <n v="5949.85"/>
  </r>
  <r>
    <s v="TRX0209"/>
    <d v="2024-04-26T00:00:00"/>
    <s v="CUST046"/>
    <s v="Kathleen Bennett"/>
    <s v="P008"/>
    <s v="Bookshelf"/>
    <s v="Furniture"/>
    <n v="5"/>
    <n v="149.99"/>
    <s v="Debit Card"/>
    <x v="2"/>
    <s v="Basic"/>
    <d v="2022-09-26T00:00:00"/>
    <n v="749.95"/>
    <n v="1"/>
    <d v="2025-12-15T15:27:50"/>
    <s v="Boo"/>
    <s v="CUST043"/>
    <n v="479.91999999999996"/>
  </r>
  <r>
    <s v="TRX0246"/>
    <d v="2024-04-26T00:00:00"/>
    <s v="CUST041"/>
    <s v="Peter Richardson"/>
    <s v="P008"/>
    <s v="Bookshelf"/>
    <s v="Furniture"/>
    <n v="3"/>
    <n v="149.99"/>
    <s v="Cash"/>
    <x v="2"/>
    <s v="Premium"/>
    <d v="2022-09-02T00:00:00"/>
    <n v="449.97"/>
    <n v="1"/>
    <d v="2025-12-15T15:27:50"/>
    <s v="Boo"/>
    <s v="CUST038"/>
    <n v="4199.9399999999996"/>
  </r>
  <r>
    <s v="TRX0067"/>
    <d v="2024-04-27T00:00:00"/>
    <s v="CUST043"/>
    <s v="Dennis Gray"/>
    <s v="P005"/>
    <s v="Blender"/>
    <s v="Appliances"/>
    <n v="3"/>
    <n v="59.99"/>
    <s v="Credit Card"/>
    <x v="2"/>
    <s v="Standard"/>
    <d v="2024-02-29T00:00:00"/>
    <n v="179.97"/>
    <n v="0"/>
    <d v="2025-12-15T15:27:50"/>
    <s v="Ble"/>
    <s v="CUST027"/>
    <n v="3779.93"/>
  </r>
  <r>
    <s v="TRX0191"/>
    <d v="2024-04-27T00:00:00"/>
    <s v="CUST038"/>
    <s v="Michelle Rogers"/>
    <s v="P002"/>
    <s v="Smartphone"/>
    <s v="Electronics"/>
    <n v="3"/>
    <n v="699.99"/>
    <s v="Credit Card"/>
    <x v="3"/>
    <s v="Basic"/>
    <d v="2022-01-16T00:00:00"/>
    <n v="2099.9699999999998"/>
    <n v="2"/>
    <d v="2025-12-15T15:27:50"/>
    <s v="Sma"/>
    <s v="CUST025"/>
    <n v="15659.65"/>
  </r>
  <r>
    <s v="TRX0230"/>
    <d v="2024-04-27T00:00:00"/>
    <s v="CUST027"/>
    <s v="George Adams"/>
    <s v="P001"/>
    <s v="Laptop"/>
    <s v="Electronics"/>
    <n v="1"/>
    <n v="899.99"/>
    <s v="Debit Card"/>
    <x v="2"/>
    <s v="Standard"/>
    <d v="2022-12-25T00:00:00"/>
    <n v="899.99"/>
    <n v="1"/>
    <d v="2025-12-15T15:27:50"/>
    <s v="Lap"/>
    <s v="CUST010"/>
    <n v="1909.93"/>
  </r>
  <r>
    <s v="TRX0049"/>
    <d v="2024-04-28T00:00:00"/>
    <s v="CUST025"/>
    <s v="Mark Carter"/>
    <s v="P008"/>
    <s v="Bookshelf"/>
    <s v="Furniture"/>
    <n v="4"/>
    <n v="149.99"/>
    <s v="Debit Card"/>
    <x v="2"/>
    <s v="Premium"/>
    <d v="2024-03-23T00:00:00"/>
    <n v="599.96"/>
    <n v="0"/>
    <d v="2025-12-15T15:27:50"/>
    <s v="Boo"/>
    <s v="CUST048"/>
    <n v="4789.7900000000009"/>
  </r>
  <r>
    <s v="TRX0134"/>
    <d v="2024-04-28T00:00:00"/>
    <s v="CUST010"/>
    <s v="Maria Garcia"/>
    <s v="P002"/>
    <s v="Smartphone"/>
    <s v="Electronics"/>
    <n v="2"/>
    <n v="699.99"/>
    <s v="Cash"/>
    <x v="2"/>
    <s v="Basic"/>
    <d v="2022-08-08T00:00:00"/>
    <n v="1399.98"/>
    <n v="1"/>
    <d v="2025-12-15T15:27:50"/>
    <s v="Sma"/>
    <s v="CUST018"/>
    <n v="10649.8"/>
  </r>
  <r>
    <s v="TRX0122"/>
    <d v="2024-04-28T00:00:00"/>
    <s v="CUST025"/>
    <s v="Mark Carter"/>
    <s v="P001"/>
    <s v="Laptop"/>
    <s v="Electronics"/>
    <n v="4"/>
    <n v="899.99"/>
    <s v="Credit Card"/>
    <x v="3"/>
    <s v="Standard"/>
    <d v="2024-02-05T00:00:00"/>
    <n v="3599.96"/>
    <n v="0"/>
    <d v="2025-12-15T15:27:50"/>
    <s v="Lap"/>
    <s v="CUST012"/>
    <n v="9799.73"/>
  </r>
  <r>
    <s v="TRX0222"/>
    <d v="2024-04-28T00:00:00"/>
    <s v="CUST048"/>
    <s v="Virginia Sanders"/>
    <s v="P009"/>
    <s v="Monitor"/>
    <s v="Electronics"/>
    <n v="3"/>
    <n v="249.99"/>
    <s v="Credit Card"/>
    <x v="2"/>
    <s v="Premium"/>
    <d v="2023-10-25T00:00:00"/>
    <n v="749.97"/>
    <n v="0"/>
    <d v="2025-12-15T15:27:50"/>
    <s v="Mon"/>
    <s v="CUST044"/>
    <n v="3769.8300000000004"/>
  </r>
  <r>
    <s v="TRX0231"/>
    <d v="2024-04-30T00:00:00"/>
    <s v="CUST018"/>
    <s v="Barbara Young"/>
    <s v="P002"/>
    <s v="Smartphone"/>
    <s v="Electronics"/>
    <n v="5"/>
    <n v="699.99"/>
    <s v="Cash"/>
    <x v="3"/>
    <s v="Basic"/>
    <d v="2023-08-29T00:00:00"/>
    <n v="3499.95"/>
    <n v="0"/>
    <d v="2025-12-15T15:27:50"/>
    <s v="Sma"/>
    <s v="CUST036"/>
    <n v="4189.7700000000004"/>
  </r>
  <r>
    <s v="TRX0239"/>
    <d v="2024-05-01T00:00:00"/>
    <s v="CUST012"/>
    <s v="Patricia Moore"/>
    <s v="P002"/>
    <s v="Smartphone"/>
    <s v="Electronics"/>
    <n v="4"/>
    <n v="699.99"/>
    <s v="Cash"/>
    <x v="4"/>
    <s v="Standard"/>
    <d v="2021-08-01T00:00:00"/>
    <n v="2799.96"/>
    <n v="2"/>
    <d v="2025-12-15T15:27:50"/>
    <s v="Sma"/>
    <s v="CUST014"/>
    <n v="1289.9000000000001"/>
  </r>
  <r>
    <s v="TRX0204"/>
    <d v="2024-05-03T00:00:00"/>
    <s v="CUST044"/>
    <s v="Cynthia Price"/>
    <s v="P009"/>
    <s v="Monitor"/>
    <s v="Electronics"/>
    <n v="4"/>
    <n v="249.99"/>
    <s v="PayPal"/>
    <x v="2"/>
    <s v="Standard"/>
    <d v="2021-09-29T00:00:00"/>
    <n v="999.96"/>
    <n v="2"/>
    <d v="2025-12-15T15:27:50"/>
    <s v="Mon"/>
    <s v="CUST030"/>
    <n v="6459.79"/>
  </r>
  <r>
    <s v="TRX0242"/>
    <d v="2024-05-04T00:00:00"/>
    <s v="CUST025"/>
    <s v="Mark Carter"/>
    <s v="P007"/>
    <s v="Desk"/>
    <s v="Furniture"/>
    <n v="4"/>
    <n v="299.99"/>
    <s v="Cash"/>
    <x v="3"/>
    <s v="Premium"/>
    <d v="2022-06-04T00:00:00"/>
    <n v="1199.96"/>
    <n v="1"/>
    <d v="2025-12-15T15:27:50"/>
    <s v="Des"/>
    <s v="CUST029"/>
    <n v="11919.769999999999"/>
  </r>
  <r>
    <s v="TRX0071"/>
    <d v="2024-05-10T00:00:00"/>
    <s v="CUST036"/>
    <s v="Nancy Collins"/>
    <s v="P009"/>
    <s v="Monitor"/>
    <s v="Electronics"/>
    <n v="5"/>
    <n v="249.99"/>
    <s v="Credit Card"/>
    <x v="3"/>
    <s v="Standard"/>
    <d v="2021-11-25T00:00:00"/>
    <n v="1249.95"/>
    <n v="2"/>
    <d v="2025-12-15T15:27:50"/>
    <s v="Mon"/>
    <s v="CUST006"/>
    <n v="2039.8000000000002"/>
  </r>
  <r>
    <s v="TRX0040"/>
    <d v="2024-05-12T00:00:00"/>
    <s v="CUST022"/>
    <s v="Susan Green"/>
    <s v="P007"/>
    <s v="Desk"/>
    <s v="Furniture"/>
    <n v="5"/>
    <n v="299.99"/>
    <s v="PayPal"/>
    <x v="4"/>
    <s v="Basic"/>
    <d v="2023-08-30T00:00:00"/>
    <n v="1499.95"/>
    <n v="0"/>
    <d v="2025-12-15T15:27:50"/>
    <s v="Des"/>
    <s v="CUST002"/>
    <n v="1229.8800000000001"/>
  </r>
  <r>
    <s v="TRX0235"/>
    <d v="2024-05-12T00:00:00"/>
    <s v="CUST014"/>
    <s v="Linda Martin"/>
    <s v="P004"/>
    <s v="Coffee Maker"/>
    <s v="Appliances"/>
    <n v="3"/>
    <n v="79.989999999999995"/>
    <s v="PayPal"/>
    <x v="4"/>
    <s v="Premium"/>
    <d v="2023-03-27T00:00:00"/>
    <n v="239.97"/>
    <n v="1"/>
    <d v="2025-12-15T15:27:50"/>
    <s v="Cof"/>
    <s v="CUST031"/>
    <n v="2649.83"/>
  </r>
  <r>
    <s v="TRX0004"/>
    <d v="2024-05-12T00:00:00"/>
    <s v="CUST012"/>
    <s v="Patricia Moore"/>
    <s v="P010"/>
    <s v="Keyboard"/>
    <s v="Electronics"/>
    <n v="5"/>
    <n v="89.99"/>
    <s v="Cash"/>
    <x v="2"/>
    <s v="Premium"/>
    <d v="2022-12-24T00:00:00"/>
    <n v="449.95"/>
    <n v="1"/>
    <d v="2025-12-15T15:27:50"/>
    <s v="Key"/>
    <s v="CUST008"/>
    <n v="4739.8500000000004"/>
  </r>
  <r>
    <s v="TRX0063"/>
    <d v="2024-05-13T00:00:00"/>
    <s v="CUST030"/>
    <s v="Helen Roberts"/>
    <s v="P005"/>
    <s v="Blender"/>
    <s v="Appliances"/>
    <n v="2"/>
    <n v="59.99"/>
    <s v="Debit Card"/>
    <x v="0"/>
    <s v="Standard"/>
    <d v="2023-10-15T00:00:00"/>
    <n v="119.98"/>
    <n v="0"/>
    <d v="2025-12-15T15:27:50"/>
    <s v="Ble"/>
    <s v="CUST035"/>
    <n v="5519.8899999999994"/>
  </r>
  <r>
    <s v="TRX0241"/>
    <d v="2024-05-15T00:00:00"/>
    <s v="CUST029"/>
    <s v="Edward Mitchell"/>
    <s v="P005"/>
    <s v="Blender"/>
    <s v="Appliances"/>
    <n v="4"/>
    <n v="59.99"/>
    <s v="Debit Card"/>
    <x v="4"/>
    <s v="Standard"/>
    <d v="2022-11-02T00:00:00"/>
    <n v="239.96"/>
    <n v="1"/>
    <d v="2025-12-15T15:27:50"/>
    <s v="Ble"/>
    <s v="CUST019"/>
    <n v="7309.7999999999993"/>
  </r>
  <r>
    <s v="TRX0029"/>
    <d v="2024-05-15T00:00:00"/>
    <s v="CUST017"/>
    <s v="Charles Allen"/>
    <s v="P006"/>
    <s v="Office Chair"/>
    <s v="Furniture"/>
    <n v="5"/>
    <n v="199.99"/>
    <s v="Cash"/>
    <x v="1"/>
    <s v="Standard"/>
    <d v="2021-08-04T00:00:00"/>
    <n v="999.95"/>
    <n v="2"/>
    <d v="2025-12-15T15:27:50"/>
    <s v="Off"/>
    <s v="CUST040"/>
    <n v="5619.869999999999"/>
  </r>
  <r>
    <s v="TRX0194"/>
    <d v="2024-05-16T00:00:00"/>
    <s v="CUST006"/>
    <s v="Lisa Anderson"/>
    <s v="P008"/>
    <s v="Bookshelf"/>
    <s v="Furniture"/>
    <n v="2"/>
    <n v="149.99"/>
    <s v="Credit Card"/>
    <x v="3"/>
    <s v="Basic"/>
    <d v="2022-09-19T00:00:00"/>
    <n v="299.98"/>
    <n v="1"/>
    <d v="2025-12-15T15:27:50"/>
    <s v="Boo"/>
    <s v="CUST004"/>
    <n v="5499.8099999999995"/>
  </r>
  <r>
    <s v="TRX0130"/>
    <d v="2024-05-18T00:00:00"/>
    <s v="CUST002"/>
    <s v="Emma Wilson"/>
    <s v="P008"/>
    <s v="Bookshelf"/>
    <s v="Furniture"/>
    <n v="3"/>
    <n v="149.99"/>
    <s v="Credit Card"/>
    <x v="3"/>
    <s v="Premium"/>
    <d v="2023-05-22T00:00:00"/>
    <n v="449.97"/>
    <n v="0"/>
    <d v="2025-12-15T15:27:50"/>
    <s v="Boo"/>
    <s v="CUST028"/>
    <n v="5649.84"/>
  </r>
  <r>
    <s v="TRX0041"/>
    <d v="2024-05-20T00:00:00"/>
    <s v="CUST021"/>
    <s v="Kevin Scott"/>
    <s v="P001"/>
    <s v="Laptop"/>
    <s v="Electronics"/>
    <n v="1"/>
    <n v="899.99"/>
    <s v="Credit Card"/>
    <x v="3"/>
    <s v="Premium"/>
    <d v="2022-01-17T00:00:00"/>
    <n v="899.99"/>
    <n v="2"/>
    <d v="2025-12-15T15:27:50"/>
    <s v="Lap"/>
    <s v="CUST050"/>
    <n v="239.96"/>
  </r>
  <r>
    <s v="TRX0232"/>
    <d v="2024-05-22T00:00:00"/>
    <s v="CUST012"/>
    <s v="Patricia Moore"/>
    <s v="P007"/>
    <s v="Desk"/>
    <s v="Furniture"/>
    <n v="3"/>
    <n v="299.99"/>
    <s v="Credit Card"/>
    <x v="4"/>
    <s v="Basic"/>
    <d v="2022-09-20T00:00:00"/>
    <n v="899.97"/>
    <n v="1"/>
    <d v="2025-12-15T15:27:50"/>
    <s v="Des"/>
    <s v="CUST049"/>
    <n v="3669.8500000000004"/>
  </r>
  <r>
    <s v="TRX0021"/>
    <d v="2024-05-23T00:00:00"/>
    <s v="CUST006"/>
    <s v="Lisa Anderson"/>
    <s v="P004"/>
    <s v="Coffee Maker"/>
    <s v="Appliances"/>
    <n v="3"/>
    <n v="79.989999999999995"/>
    <s v="Cash"/>
    <x v="1"/>
    <s v="Basic"/>
    <d v="2023-04-30T00:00:00"/>
    <n v="239.97"/>
    <n v="1"/>
    <d v="2025-12-15T15:27:50"/>
    <s v="Cof"/>
    <s v="CUST007"/>
    <n v="1809.84"/>
  </r>
  <r>
    <s v="TRX0245"/>
    <d v="2024-05-26T00:00:00"/>
    <s v="CUST031"/>
    <s v="Steven Turner"/>
    <s v="P006"/>
    <s v="Office Chair"/>
    <s v="Furniture"/>
    <n v="3"/>
    <n v="199.99"/>
    <s v="Credit Card"/>
    <x v="2"/>
    <s v="Premium"/>
    <d v="2024-01-01T00:00:00"/>
    <n v="599.97"/>
    <n v="0"/>
    <d v="2025-12-15T15:27:50"/>
    <s v="Off"/>
    <s v="CUST020"/>
    <n v="2099.88"/>
  </r>
  <r>
    <s v="TRX0015"/>
    <d v="2024-05-28T00:00:00"/>
    <s v="CUST008"/>
    <s v="Jennifer Taylor"/>
    <s v="P002"/>
    <s v="Smartphone"/>
    <s v="Electronics"/>
    <n v="5"/>
    <n v="699.99"/>
    <s v="PayPal"/>
    <x v="3"/>
    <s v="Standard"/>
    <d v="2021-07-30T00:00:00"/>
    <n v="3499.95"/>
    <n v="2"/>
    <d v="2025-12-15T15:27:50"/>
    <s v="Sma"/>
    <s v="CUST033"/>
    <n v="1479.91"/>
  </r>
  <r>
    <s v="TRX0202"/>
    <d v="2024-05-29T00:00:00"/>
    <s v="CUST035"/>
    <s v="Harry Morgan"/>
    <s v="P010"/>
    <s v="Keyboard"/>
    <s v="Electronics"/>
    <n v="3"/>
    <n v="89.99"/>
    <s v="PayPal"/>
    <x v="0"/>
    <s v="Premium"/>
    <d v="2023-07-13T00:00:00"/>
    <n v="269.97000000000003"/>
    <n v="0"/>
    <d v="2025-12-15T15:27:50"/>
    <s v="Key"/>
    <s v="CUST047"/>
    <n v="6379.87"/>
  </r>
  <r>
    <s v="TRX0042"/>
    <d v="2024-05-31T00:00:00"/>
    <s v="CUST019"/>
    <s v="Daniel King"/>
    <s v="P004"/>
    <s v="Coffee Maker"/>
    <s v="Appliances"/>
    <n v="1"/>
    <n v="79.989999999999995"/>
    <s v="Cash"/>
    <x v="2"/>
    <s v="Standard"/>
    <d v="2022-12-22T00:00:00"/>
    <n v="79.989999999999995"/>
    <n v="1"/>
    <d v="2025-12-15T15:27:50"/>
    <s v="Cof"/>
    <s v="CUST016"/>
    <n v="3649.8599999999997"/>
  </r>
  <r>
    <s v="TRX0128"/>
    <d v="2024-06-01T00:00:00"/>
    <s v="CUST040"/>
    <s v="Sharon Butler"/>
    <s v="P005"/>
    <s v="Blender"/>
    <s v="Appliances"/>
    <n v="2"/>
    <n v="59.99"/>
    <s v="Cash"/>
    <x v="3"/>
    <s v="Basic"/>
    <d v="2024-04-08T00:00:00"/>
    <n v="119.98"/>
    <n v="0"/>
    <d v="2025-12-15T15:27:50"/>
    <s v="Ble"/>
    <s v="CUST039"/>
    <n v="6989.7699999999986"/>
  </r>
  <r>
    <s v="TRX0117"/>
    <d v="2024-06-01T00:00:00"/>
    <s v="CUST017"/>
    <s v="Charles Allen"/>
    <s v="P010"/>
    <s v="Keyboard"/>
    <s v="Electronics"/>
    <n v="1"/>
    <n v="89.99"/>
    <s v="Cash"/>
    <x v="2"/>
    <s v="Basic"/>
    <d v="2023-08-03T00:00:00"/>
    <n v="89.99"/>
    <n v="0"/>
    <d v="2025-12-15T15:27:50"/>
    <s v="Key"/>
    <s v="CUST034"/>
    <n v="1149.93"/>
  </r>
  <r>
    <s v="TRX0208"/>
    <d v="2024-06-03T00:00:00"/>
    <s v="CUST004"/>
    <s v="Sarah Davis"/>
    <s v="P010"/>
    <s v="Keyboard"/>
    <s v="Electronics"/>
    <n v="5"/>
    <n v="89.99"/>
    <s v="Credit Card"/>
    <x v="4"/>
    <s v="Standard"/>
    <d v="2022-01-26T00:00:00"/>
    <n v="449.95"/>
    <n v="2"/>
    <d v="2025-12-15T15:27:50"/>
    <s v="Key"/>
    <s v="CUST032"/>
    <n v="6349.83"/>
  </r>
  <r>
    <s v="TRX0234"/>
    <d v="2024-06-06T00:00:00"/>
    <s v="CUST013"/>
    <s v="Joseph Jackson"/>
    <s v="P009"/>
    <s v="Monitor"/>
    <s v="Electronics"/>
    <n v="5"/>
    <n v="249.99"/>
    <s v="Credit Card"/>
    <x v="4"/>
    <s v="Standard"/>
    <d v="2022-05-26T00:00:00"/>
    <n v="1249.95"/>
    <n v="2"/>
    <d v="2025-12-15T15:27:50"/>
    <s v="Mon"/>
    <s v="CUST042"/>
    <n v="1749.92"/>
  </r>
  <r>
    <s v="TRX0121"/>
    <d v="2024-06-06T00:00:00"/>
    <s v="CUST028"/>
    <s v="Betty Campbell"/>
    <s v="P010"/>
    <s v="Keyboard"/>
    <s v="Electronics"/>
    <n v="1"/>
    <n v="89.99"/>
    <s v="Credit Card"/>
    <x v="1"/>
    <s v="Standard"/>
    <d v="2022-01-21T00:00:00"/>
    <n v="89.99"/>
    <n v="2"/>
    <d v="2025-12-15T15:27:50"/>
    <s v="Key"/>
    <s v="CUST011"/>
    <n v="4749.91"/>
  </r>
  <r>
    <s v="TRX0220"/>
    <d v="2024-06-07T00:00:00"/>
    <s v="CUST003"/>
    <s v="Michael Brown"/>
    <s v="P008"/>
    <s v="Bookshelf"/>
    <s v="Furniture"/>
    <n v="2"/>
    <n v="149.99"/>
    <s v="Cash"/>
    <x v="4"/>
    <s v="Premium"/>
    <d v="2022-03-25T00:00:00"/>
    <n v="299.98"/>
    <n v="2"/>
    <d v="2025-12-15T15:27:50"/>
    <s v="Boo"/>
    <s v="CUST015"/>
    <n v="739.93000000000006"/>
  </r>
  <r>
    <s v="TRX0093"/>
    <d v="2024-06-09T00:00:00"/>
    <s v="CUST050"/>
    <s v="Julie Foster"/>
    <s v="P005"/>
    <s v="Blender"/>
    <s v="Appliances"/>
    <n v="4"/>
    <n v="59.99"/>
    <s v="Cash"/>
    <x v="4"/>
    <s v="Standard"/>
    <d v="2021-08-27T00:00:00"/>
    <n v="239.96"/>
    <n v="2"/>
    <d v="2025-12-15T15:27:50"/>
    <s v="Ble"/>
    <s v="CUST045"/>
    <n v="4829.8899999999994"/>
  </r>
  <r>
    <s v="TRX0088"/>
    <d v="2024-06-13T00:00:00"/>
    <s v="CUST006"/>
    <s v="Lisa Anderson"/>
    <s v="P010"/>
    <s v="Keyboard"/>
    <s v="Electronics"/>
    <n v="5"/>
    <n v="89.99"/>
    <s v="Cash"/>
    <x v="0"/>
    <s v="Premium"/>
    <d v="2022-01-18T00:00:00"/>
    <n v="449.95"/>
    <n v="2"/>
    <d v="2025-12-15T15:27:50"/>
    <s v="Key"/>
    <s v="CUST005"/>
    <n v="179.97"/>
  </r>
  <r>
    <s v="TRX0115"/>
    <d v="2024-06-16T00:00:00"/>
    <s v="CUST012"/>
    <s v="Patricia Moore"/>
    <s v="P010"/>
    <s v="Keyboard"/>
    <s v="Electronics"/>
    <n v="2"/>
    <n v="89.99"/>
    <s v="Credit Card"/>
    <x v="1"/>
    <s v="Premium"/>
    <d v="2021-10-02T00:00:00"/>
    <n v="179.98"/>
    <n v="2"/>
    <d v="2025-12-15T15:27:50"/>
    <s v="Key"/>
    <s v="CUST037"/>
    <n v="1559.94"/>
  </r>
  <r>
    <s v="TRX0154"/>
    <d v="2024-06-16T00:00:00"/>
    <s v="CUST023"/>
    <s v="Paul Baker"/>
    <s v="P001"/>
    <s v="Laptop"/>
    <s v="Electronics"/>
    <n v="5"/>
    <n v="899.99"/>
    <s v="Credit Card"/>
    <x v="1"/>
    <s v="Standard"/>
    <d v="2023-02-17T00:00:00"/>
    <n v="4499.95"/>
    <n v="1"/>
    <d v="2025-12-15T15:27:50"/>
    <s v="Lap"/>
    <s v="CUST001"/>
    <n v="599.96"/>
  </r>
  <r>
    <s v="TRX0044"/>
    <d v="2024-06-16T00:00:00"/>
    <s v="CUST029"/>
    <s v="Edward Mitchell"/>
    <s v="P001"/>
    <s v="Laptop"/>
    <s v="Electronics"/>
    <n v="5"/>
    <n v="899.99"/>
    <s v="PayPal"/>
    <x v="4"/>
    <s v="Premium"/>
    <d v="2023-12-18T00:00:00"/>
    <n v="4499.95"/>
    <n v="0"/>
    <d v="2025-12-15T15:27:50"/>
    <s v="Lap"/>
    <m/>
    <m/>
  </r>
  <r>
    <s v="TRX0061"/>
    <d v="2024-06-17T00:00:00"/>
    <s v="CUST028"/>
    <s v="Betty Campbell"/>
    <s v="P005"/>
    <s v="Blender"/>
    <s v="Appliances"/>
    <n v="1"/>
    <n v="59.99"/>
    <s v="Debit Card"/>
    <x v="3"/>
    <s v="Premium"/>
    <d v="2023-09-21T00:00:00"/>
    <n v="59.99"/>
    <n v="0"/>
    <d v="2025-12-15T15:27:50"/>
    <s v="Ble"/>
    <m/>
    <m/>
  </r>
  <r>
    <s v="TRX0150"/>
    <d v="2024-06-17T00:00:00"/>
    <s v="CUST008"/>
    <s v="Jennifer Taylor"/>
    <s v="P007"/>
    <s v="Desk"/>
    <s v="Furniture"/>
    <n v="2"/>
    <n v="299.99"/>
    <s v="Debit Card"/>
    <x v="4"/>
    <s v="Standard"/>
    <d v="2023-11-23T00:00:00"/>
    <n v="599.98"/>
    <n v="0"/>
    <d v="2025-12-15T15:27:50"/>
    <s v="Des"/>
    <m/>
    <m/>
  </r>
  <r>
    <s v="TRX0025"/>
    <d v="2024-06-25T00:00:00"/>
    <s v="CUST049"/>
    <s v="Raymond Ross"/>
    <s v="P010"/>
    <s v="Keyboard"/>
    <s v="Electronics"/>
    <n v="4"/>
    <n v="89.99"/>
    <s v="Debit Card"/>
    <x v="1"/>
    <s v="Basic"/>
    <d v="2023-12-21T00:00:00"/>
    <n v="359.96"/>
    <n v="0"/>
    <d v="2025-12-15T15:27:50"/>
    <s v="Key"/>
    <m/>
    <m/>
  </r>
  <r>
    <s v="TRX0078"/>
    <d v="2024-06-26T00:00:00"/>
    <s v="CUST021"/>
    <s v="Kevin Scott"/>
    <s v="P004"/>
    <s v="Coffee Maker"/>
    <s v="Appliances"/>
    <n v="1"/>
    <n v="79.989999999999995"/>
    <s v="PayPal"/>
    <x v="0"/>
    <s v="Premium"/>
    <d v="2024-03-01T00:00:00"/>
    <n v="79.989999999999995"/>
    <n v="0"/>
    <d v="2025-12-15T15:27:50"/>
    <s v="Cof"/>
    <m/>
    <m/>
  </r>
  <r>
    <s v="TRX0007"/>
    <d v="2024-06-26T00:00:00"/>
    <s v="CUST009"/>
    <s v="Robert Thomas"/>
    <s v="P010"/>
    <s v="Keyboard"/>
    <s v="Electronics"/>
    <n v="2"/>
    <n v="89.99"/>
    <s v="Cash"/>
    <x v="3"/>
    <s v="Basic"/>
    <d v="2021-08-30T00:00:00"/>
    <n v="179.98"/>
    <n v="2"/>
    <d v="2025-12-15T15:27:50"/>
    <s v="Key"/>
    <m/>
    <m/>
  </r>
  <r>
    <s v="TRX0184"/>
    <d v="2024-06-28T00:00:00"/>
    <s v="CUST046"/>
    <s v="Kathleen Bennett"/>
    <s v="P002"/>
    <s v="Smartphone"/>
    <s v="Electronics"/>
    <n v="3"/>
    <n v="699.99"/>
    <s v="Credit Card"/>
    <x v="4"/>
    <s v="Premium"/>
    <d v="2023-06-25T00:00:00"/>
    <n v="2099.9699999999998"/>
    <n v="1"/>
    <d v="2025-12-15T15:27:50"/>
    <s v="Sma"/>
    <m/>
    <m/>
  </r>
  <r>
    <s v="TRX0104"/>
    <d v="2024-06-28T00:00:00"/>
    <s v="CUST012"/>
    <s v="Patricia Moore"/>
    <s v="P001"/>
    <s v="Laptop"/>
    <s v="Electronics"/>
    <n v="4"/>
    <n v="899.99"/>
    <s v="Credit Card"/>
    <x v="4"/>
    <s v="Premium"/>
    <d v="2023-03-08T00:00:00"/>
    <n v="3599.96"/>
    <n v="1"/>
    <d v="2025-12-15T15:27:50"/>
    <s v="Lap"/>
    <m/>
    <m/>
  </r>
  <r>
    <s v="TRX0127"/>
    <d v="2024-06-29T00:00:00"/>
    <s v="CUST030"/>
    <s v="Helen Roberts"/>
    <s v="P008"/>
    <s v="Bookshelf"/>
    <s v="Furniture"/>
    <n v="1"/>
    <n v="149.99"/>
    <s v="PayPal"/>
    <x v="4"/>
    <s v="Basic"/>
    <d v="2022-10-17T00:00:00"/>
    <n v="149.99"/>
    <n v="1"/>
    <d v="2025-12-15T15:27:50"/>
    <s v="Boo"/>
    <m/>
    <m/>
  </r>
  <r>
    <s v="TRX0096"/>
    <d v="2024-07-01T00:00:00"/>
    <s v="CUST002"/>
    <s v="Emma Wilson"/>
    <s v="P010"/>
    <s v="Keyboard"/>
    <s v="Electronics"/>
    <n v="2"/>
    <n v="89.99"/>
    <s v="PayPal"/>
    <x v="0"/>
    <s v="Premium"/>
    <d v="2023-12-15T00:00:00"/>
    <n v="179.98"/>
    <n v="0"/>
    <d v="2025-12-15T15:27:50"/>
    <s v="Key"/>
    <m/>
    <m/>
  </r>
  <r>
    <s v="TRX0192"/>
    <d v="2024-07-02T00:00:00"/>
    <s v="CUST017"/>
    <s v="Charles Allen"/>
    <s v="P010"/>
    <s v="Keyboard"/>
    <s v="Electronics"/>
    <n v="1"/>
    <n v="89.99"/>
    <s v="PayPal"/>
    <x v="3"/>
    <s v="Standard"/>
    <d v="2022-08-29T00:00:00"/>
    <n v="89.99"/>
    <n v="1"/>
    <d v="2025-12-15T15:27:50"/>
    <s v="Key"/>
    <m/>
    <m/>
  </r>
  <r>
    <s v="TRX0052"/>
    <d v="2024-07-03T00:00:00"/>
    <s v="CUST022"/>
    <s v="Susan Green"/>
    <s v="P010"/>
    <s v="Keyboard"/>
    <s v="Electronics"/>
    <n v="1"/>
    <n v="89.99"/>
    <s v="Cash"/>
    <x v="1"/>
    <s v="Standard"/>
    <d v="2022-02-19T00:00:00"/>
    <n v="89.99"/>
    <n v="2"/>
    <d v="2025-12-15T15:27:50"/>
    <s v="Key"/>
    <m/>
    <m/>
  </r>
  <r>
    <s v="TRX0070"/>
    <d v="2024-07-03T00:00:00"/>
    <s v="CUST007"/>
    <s v="David Martinez"/>
    <s v="P004"/>
    <s v="Coffee Maker"/>
    <s v="Appliances"/>
    <n v="5"/>
    <n v="79.989999999999995"/>
    <s v="Debit Card"/>
    <x v="0"/>
    <s v="Basic"/>
    <d v="2023-02-24T00:00:00"/>
    <n v="399.95"/>
    <n v="1"/>
    <d v="2025-12-15T15:27:50"/>
    <s v="Cof"/>
    <m/>
    <m/>
  </r>
  <r>
    <s v="TRX0086"/>
    <d v="2024-07-08T00:00:00"/>
    <s v="CUST020"/>
    <s v="Margaret Wright"/>
    <s v="P008"/>
    <s v="Bookshelf"/>
    <s v="Furniture"/>
    <n v="1"/>
    <n v="149.99"/>
    <s v="PayPal"/>
    <x v="2"/>
    <s v="Basic"/>
    <d v="2021-08-13T00:00:00"/>
    <n v="149.99"/>
    <n v="2"/>
    <d v="2025-12-15T15:27:50"/>
    <s v="Boo"/>
    <m/>
    <m/>
  </r>
  <r>
    <s v="TRX0113"/>
    <d v="2024-07-08T00:00:00"/>
    <s v="CUST003"/>
    <s v="Michael Brown"/>
    <s v="P002"/>
    <s v="Smartphone"/>
    <s v="Electronics"/>
    <n v="2"/>
    <n v="699.99"/>
    <s v="PayPal"/>
    <x v="4"/>
    <s v="Premium"/>
    <d v="2024-04-07T00:00:00"/>
    <n v="1399.98"/>
    <n v="0"/>
    <d v="2025-12-15T15:27:50"/>
    <s v="Sma"/>
    <m/>
    <m/>
  </r>
  <r>
    <s v="TRX0114"/>
    <d v="2024-07-08T00:00:00"/>
    <s v="CUST018"/>
    <s v="Barbara Young"/>
    <s v="P010"/>
    <s v="Keyboard"/>
    <s v="Electronics"/>
    <n v="5"/>
    <n v="89.99"/>
    <s v="Debit Card"/>
    <x v="2"/>
    <s v="Premium"/>
    <d v="2023-08-23T00:00:00"/>
    <n v="449.95"/>
    <n v="0"/>
    <d v="2025-12-15T15:27:50"/>
    <s v="Key"/>
    <m/>
    <m/>
  </r>
  <r>
    <s v="TRX0136"/>
    <d v="2024-07-09T00:00:00"/>
    <s v="CUST049"/>
    <s v="Raymond Ross"/>
    <s v="P005"/>
    <s v="Blender"/>
    <s v="Appliances"/>
    <n v="4"/>
    <n v="59.99"/>
    <s v="Cash"/>
    <x v="1"/>
    <s v="Standard"/>
    <d v="2021-11-09T00:00:00"/>
    <n v="239.96"/>
    <n v="2"/>
    <d v="2025-12-15T15:27:50"/>
    <s v="Ble"/>
    <m/>
    <m/>
  </r>
  <r>
    <s v="TRX0018"/>
    <d v="2024-07-11T00:00:00"/>
    <s v="CUST013"/>
    <s v="Joseph Jackson"/>
    <s v="P003"/>
    <s v="Headphones"/>
    <s v="Electronics"/>
    <n v="1"/>
    <n v="149.99"/>
    <s v="Cash"/>
    <x v="0"/>
    <s v="Standard"/>
    <d v="2022-12-14T00:00:00"/>
    <n v="149.99"/>
    <n v="1"/>
    <d v="2025-12-15T15:27:50"/>
    <s v="Hea"/>
    <m/>
    <m/>
  </r>
  <r>
    <s v="TRX0141"/>
    <d v="2024-07-11T00:00:00"/>
    <s v="CUST033"/>
    <s v="Frank Torres"/>
    <s v="P007"/>
    <s v="Desk"/>
    <s v="Furniture"/>
    <n v="1"/>
    <n v="299.99"/>
    <s v="Credit Card"/>
    <x v="2"/>
    <s v="Premium"/>
    <d v="2022-11-26T00:00:00"/>
    <n v="299.99"/>
    <n v="1"/>
    <d v="2025-12-15T15:27:50"/>
    <s v="Des"/>
    <m/>
    <m/>
  </r>
  <r>
    <s v="TRX0097"/>
    <d v="2024-07-14T00:00:00"/>
    <s v="CUST033"/>
    <s v="Frank Torres"/>
    <s v="P006"/>
    <s v="Office Chair"/>
    <s v="Furniture"/>
    <n v="2"/>
    <n v="199.99"/>
    <s v="Cash"/>
    <x v="2"/>
    <s v="Basic"/>
    <d v="2021-12-11T00:00:00"/>
    <n v="399.98"/>
    <n v="2"/>
    <d v="2025-12-15T15:27:50"/>
    <s v="Off"/>
    <m/>
    <m/>
  </r>
  <r>
    <s v="TRX0169"/>
    <d v="2024-07-17T00:00:00"/>
    <s v="CUST047"/>
    <s v="Gerald Murphy"/>
    <s v="P005"/>
    <s v="Blender"/>
    <s v="Appliances"/>
    <n v="3"/>
    <n v="59.99"/>
    <s v="Credit Card"/>
    <x v="3"/>
    <s v="Basic"/>
    <d v="2023-07-23T00:00:00"/>
    <n v="179.97"/>
    <n v="0"/>
    <d v="2025-12-15T15:27:50"/>
    <s v="Ble"/>
    <m/>
    <m/>
  </r>
  <r>
    <s v="TRX0216"/>
    <d v="2024-07-17T00:00:00"/>
    <s v="CUST041"/>
    <s v="Peter Richardson"/>
    <s v="P008"/>
    <s v="Bookshelf"/>
    <s v="Furniture"/>
    <n v="3"/>
    <n v="149.99"/>
    <s v="Cash"/>
    <x v="0"/>
    <s v="Premium"/>
    <d v="2023-09-30T00:00:00"/>
    <n v="449.97"/>
    <n v="0"/>
    <d v="2025-12-15T15:27:50"/>
    <s v="Boo"/>
    <m/>
    <m/>
  </r>
  <r>
    <s v="TRX0131"/>
    <d v="2024-07-18T00:00:00"/>
    <s v="CUST026"/>
    <s v="Karen Hill"/>
    <s v="P006"/>
    <s v="Office Chair"/>
    <s v="Furniture"/>
    <n v="3"/>
    <n v="199.99"/>
    <s v="Cash"/>
    <x v="2"/>
    <s v="Premium"/>
    <d v="2023-11-24T00:00:00"/>
    <n v="599.97"/>
    <n v="0"/>
    <d v="2025-12-15T15:27:50"/>
    <s v="Off"/>
    <m/>
    <m/>
  </r>
  <r>
    <s v="TRX0162"/>
    <d v="2024-07-23T00:00:00"/>
    <s v="CUST040"/>
    <s v="Sharon Butler"/>
    <s v="P001"/>
    <s v="Laptop"/>
    <s v="Electronics"/>
    <n v="1"/>
    <n v="899.99"/>
    <s v="Cash"/>
    <x v="0"/>
    <s v="Standard"/>
    <d v="2023-09-10T00:00:00"/>
    <n v="899.99"/>
    <n v="0"/>
    <d v="2025-12-15T15:27:50"/>
    <s v="Lap"/>
    <m/>
    <m/>
  </r>
  <r>
    <s v="TRX0244"/>
    <d v="2024-07-24T00:00:00"/>
    <s v="CUST013"/>
    <s v="Joseph Jackson"/>
    <s v="P001"/>
    <s v="Laptop"/>
    <s v="Electronics"/>
    <n v="5"/>
    <n v="899.99"/>
    <s v="Debit Card"/>
    <x v="1"/>
    <s v="Standard"/>
    <d v="2022-12-04T00:00:00"/>
    <n v="4499.95"/>
    <n v="1"/>
    <d v="2025-12-15T15:27:50"/>
    <s v="Lap"/>
    <m/>
    <m/>
  </r>
  <r>
    <s v="TRX0006"/>
    <d v="2024-07-25T00:00:00"/>
    <s v="CUST007"/>
    <s v="David Martinez"/>
    <s v="P005"/>
    <s v="Blender"/>
    <s v="Appliances"/>
    <n v="2"/>
    <n v="59.99"/>
    <s v="Cash"/>
    <x v="2"/>
    <s v="Standard"/>
    <d v="2023-08-14T00:00:00"/>
    <n v="119.98"/>
    <n v="0"/>
    <d v="2025-12-15T15:27:50"/>
    <s v="Ble"/>
    <m/>
    <m/>
  </r>
  <r>
    <s v="TRX0215"/>
    <d v="2024-07-25T00:00:00"/>
    <s v="CUST047"/>
    <s v="Gerald Murphy"/>
    <s v="P009"/>
    <s v="Monitor"/>
    <s v="Electronics"/>
    <n v="4"/>
    <n v="249.99"/>
    <s v="Debit Card"/>
    <x v="0"/>
    <s v="Standard"/>
    <d v="2023-07-20T00:00:00"/>
    <n v="999.96"/>
    <n v="1"/>
    <d v="2025-12-15T15:27:50"/>
    <s v="Mon"/>
    <m/>
    <m/>
  </r>
  <r>
    <s v="TRX0080"/>
    <d v="2024-07-27T00:00:00"/>
    <s v="CUST018"/>
    <s v="Barbara Young"/>
    <s v="P009"/>
    <s v="Monitor"/>
    <s v="Electronics"/>
    <n v="2"/>
    <n v="249.99"/>
    <s v="Cash"/>
    <x v="2"/>
    <s v="Premium"/>
    <d v="2023-08-26T00:00:00"/>
    <n v="499.98"/>
    <n v="0"/>
    <d v="2025-12-15T15:27:50"/>
    <s v="Mon"/>
    <m/>
    <m/>
  </r>
  <r>
    <s v="TRX0228"/>
    <d v="2024-07-27T00:00:00"/>
    <s v="CUST019"/>
    <s v="Daniel King"/>
    <s v="P007"/>
    <s v="Desk"/>
    <s v="Furniture"/>
    <n v="1"/>
    <n v="299.99"/>
    <s v="Cash"/>
    <x v="1"/>
    <s v="Basic"/>
    <d v="2023-02-25T00:00:00"/>
    <n v="299.99"/>
    <n v="1"/>
    <d v="2025-12-15T15:27:50"/>
    <s v="Des"/>
    <m/>
    <m/>
  </r>
  <r>
    <s v="TRX0157"/>
    <d v="2024-07-28T00:00:00"/>
    <s v="CUST025"/>
    <s v="Mark Carter"/>
    <s v="P010"/>
    <s v="Keyboard"/>
    <s v="Electronics"/>
    <n v="2"/>
    <n v="89.99"/>
    <s v="PayPal"/>
    <x v="1"/>
    <s v="Basic"/>
    <d v="2023-02-19T00:00:00"/>
    <n v="179.98"/>
    <n v="1"/>
    <d v="2025-12-15T15:27:50"/>
    <s v="Key"/>
    <m/>
    <m/>
  </r>
  <r>
    <s v="TRX0002"/>
    <d v="2024-07-28T00:00:00"/>
    <s v="CUST019"/>
    <s v="Daniel King"/>
    <s v="P007"/>
    <s v="Desk"/>
    <s v="Furniture"/>
    <n v="3"/>
    <n v="299.99"/>
    <s v="Cash"/>
    <x v="0"/>
    <s v="Basic"/>
    <d v="2022-06-20T00:00:00"/>
    <n v="899.97"/>
    <n v="2"/>
    <d v="2025-12-15T15:27:50"/>
    <s v="Des"/>
    <m/>
    <m/>
  </r>
  <r>
    <s v="TRX0217"/>
    <d v="2024-07-30T00:00:00"/>
    <s v="CUST025"/>
    <s v="Mark Carter"/>
    <s v="P002"/>
    <s v="Smartphone"/>
    <s v="Electronics"/>
    <n v="2"/>
    <n v="699.99"/>
    <s v="Credit Card"/>
    <x v="2"/>
    <s v="Premium"/>
    <d v="2023-03-14T00:00:00"/>
    <n v="1399.98"/>
    <n v="1"/>
    <d v="2025-12-15T15:27:50"/>
    <s v="Sma"/>
    <m/>
    <m/>
  </r>
  <r>
    <s v="TRX0249"/>
    <d v="2024-07-31T00:00:00"/>
    <s v="CUST030"/>
    <s v="Helen Roberts"/>
    <s v="P001"/>
    <s v="Laptop"/>
    <s v="Electronics"/>
    <n v="4"/>
    <n v="899.99"/>
    <s v="Debit Card"/>
    <x v="1"/>
    <s v="Standard"/>
    <d v="2021-11-23T00:00:00"/>
    <n v="3599.96"/>
    <n v="2"/>
    <d v="2025-12-15T15:27:50"/>
    <s v="Lap"/>
    <m/>
    <m/>
  </r>
  <r>
    <s v="TRX0065"/>
    <d v="2024-08-05T00:00:00"/>
    <s v="CUST016"/>
    <s v="Elizabeth Hall"/>
    <s v="P008"/>
    <s v="Bookshelf"/>
    <s v="Furniture"/>
    <n v="2"/>
    <n v="149.99"/>
    <s v="Credit Card"/>
    <x v="3"/>
    <s v="Basic"/>
    <d v="2021-12-12T00:00:00"/>
    <n v="299.98"/>
    <n v="2"/>
    <d v="2025-12-15T15:27:50"/>
    <s v="Boo"/>
    <m/>
    <m/>
  </r>
  <r>
    <s v="TRX0176"/>
    <d v="2024-08-06T00:00:00"/>
    <s v="CUST044"/>
    <s v="Cynthia Price"/>
    <s v="P008"/>
    <s v="Bookshelf"/>
    <s v="Furniture"/>
    <n v="2"/>
    <n v="149.99"/>
    <s v="Debit Card"/>
    <x v="4"/>
    <s v="Standard"/>
    <d v="2022-04-16T00:00:00"/>
    <n v="299.98"/>
    <n v="2"/>
    <d v="2025-12-15T15:27:50"/>
    <s v="Boo"/>
    <m/>
    <m/>
  </r>
  <r>
    <s v="TRX0101"/>
    <d v="2024-08-09T00:00:00"/>
    <s v="CUST010"/>
    <s v="Maria Garcia"/>
    <s v="P010"/>
    <s v="Keyboard"/>
    <s v="Electronics"/>
    <n v="1"/>
    <n v="89.99"/>
    <s v="Credit Card"/>
    <x v="2"/>
    <s v="Standard"/>
    <d v="2024-04-11T00:00:00"/>
    <n v="89.99"/>
    <n v="0"/>
    <d v="2025-12-15T15:27:50"/>
    <s v="Key"/>
    <m/>
    <m/>
  </r>
  <r>
    <s v="TRX0205"/>
    <d v="2024-08-11T00:00:00"/>
    <s v="CUST025"/>
    <s v="Mark Carter"/>
    <s v="P007"/>
    <s v="Desk"/>
    <s v="Furniture"/>
    <n v="5"/>
    <n v="299.99"/>
    <s v="Credit Card"/>
    <x v="2"/>
    <s v="Basic"/>
    <d v="2023-02-08T00:00:00"/>
    <n v="1499.95"/>
    <n v="1"/>
    <d v="2025-12-15T15:27:50"/>
    <s v="Des"/>
    <m/>
    <m/>
  </r>
  <r>
    <s v="TRX0020"/>
    <d v="2024-08-13T00:00:00"/>
    <s v="CUST007"/>
    <s v="David Martinez"/>
    <s v="P003"/>
    <s v="Headphones"/>
    <s v="Electronics"/>
    <n v="4"/>
    <n v="149.99"/>
    <s v="Debit Card"/>
    <x v="1"/>
    <s v="Premium"/>
    <d v="2022-09-16T00:00:00"/>
    <n v="599.96"/>
    <n v="1"/>
    <d v="2025-12-15T15:27:50"/>
    <s v="Hea"/>
    <m/>
    <m/>
  </r>
  <r>
    <s v="TRX0075"/>
    <d v="2024-08-13T00:00:00"/>
    <s v="CUST020"/>
    <s v="Margaret Wright"/>
    <s v="P009"/>
    <s v="Monitor"/>
    <s v="Electronics"/>
    <n v="5"/>
    <n v="249.99"/>
    <s v="PayPal"/>
    <x v="4"/>
    <s v="Premium"/>
    <d v="2022-08-09T00:00:00"/>
    <n v="1249.95"/>
    <n v="2"/>
    <d v="2025-12-15T15:27:50"/>
    <s v="Mon"/>
    <m/>
    <m/>
  </r>
  <r>
    <s v="TRX0098"/>
    <d v="2024-08-13T00:00:00"/>
    <s v="CUST026"/>
    <s v="Karen Hill"/>
    <s v="P009"/>
    <s v="Monitor"/>
    <s v="Electronics"/>
    <n v="3"/>
    <n v="249.99"/>
    <s v="PayPal"/>
    <x v="2"/>
    <s v="Premium"/>
    <d v="2021-09-26T00:00:00"/>
    <n v="749.97"/>
    <n v="2"/>
    <d v="2025-12-15T15:27:50"/>
    <s v="Mon"/>
    <m/>
    <m/>
  </r>
  <r>
    <s v="TRX0247"/>
    <d v="2024-08-13T00:00:00"/>
    <s v="CUST046"/>
    <s v="Kathleen Bennett"/>
    <s v="P006"/>
    <s v="Office Chair"/>
    <s v="Furniture"/>
    <n v="4"/>
    <n v="199.99"/>
    <s v="Cash"/>
    <x v="2"/>
    <s v="Standard"/>
    <d v="2021-09-19T00:00:00"/>
    <n v="799.96"/>
    <n v="2"/>
    <d v="2025-12-15T15:27:50"/>
    <s v="Off"/>
    <m/>
    <m/>
  </r>
  <r>
    <s v="TRX0027"/>
    <d v="2024-08-15T00:00:00"/>
    <s v="CUST028"/>
    <s v="Betty Campbell"/>
    <s v="P006"/>
    <s v="Office Chair"/>
    <s v="Furniture"/>
    <n v="5"/>
    <n v="199.99"/>
    <s v="Cash"/>
    <x v="2"/>
    <s v="Premium"/>
    <d v="2023-03-06T00:00:00"/>
    <n v="999.95"/>
    <n v="1"/>
    <d v="2025-12-15T15:27:50"/>
    <s v="Off"/>
    <m/>
    <m/>
  </r>
  <r>
    <s v="TRX0140"/>
    <d v="2024-08-18T00:00:00"/>
    <s v="CUST025"/>
    <s v="Mark Carter"/>
    <s v="P010"/>
    <s v="Keyboard"/>
    <s v="Electronics"/>
    <n v="2"/>
    <n v="89.99"/>
    <s v="Cash"/>
    <x v="4"/>
    <s v="Premium"/>
    <d v="2023-02-15T00:00:00"/>
    <n v="179.98"/>
    <n v="1"/>
    <d v="2025-12-15T15:27:50"/>
    <s v="Key"/>
    <m/>
    <m/>
  </r>
  <r>
    <s v="TRX0132"/>
    <d v="2024-08-19T00:00:00"/>
    <s v="CUST047"/>
    <s v="Gerald Murphy"/>
    <s v="P001"/>
    <s v="Laptop"/>
    <s v="Electronics"/>
    <n v="5"/>
    <n v="899.99"/>
    <s v="Debit Card"/>
    <x v="4"/>
    <s v="Basic"/>
    <d v="2021-11-26T00:00:00"/>
    <n v="4499.95"/>
    <n v="2"/>
    <d v="2025-12-15T15:27:50"/>
    <s v="Lap"/>
    <m/>
    <m/>
  </r>
  <r>
    <s v="TRX0031"/>
    <d v="2024-08-19T00:00:00"/>
    <s v="CUST036"/>
    <s v="Nancy Collins"/>
    <s v="P003"/>
    <s v="Headphones"/>
    <s v="Electronics"/>
    <n v="3"/>
    <n v="149.99"/>
    <s v="PayPal"/>
    <x v="4"/>
    <s v="Basic"/>
    <d v="2022-01-13T00:00:00"/>
    <n v="449.97"/>
    <n v="2"/>
    <d v="2025-12-15T15:27:50"/>
    <s v="Hea"/>
    <m/>
    <m/>
  </r>
  <r>
    <s v="TRX0236"/>
    <d v="2024-08-22T00:00:00"/>
    <s v="CUST044"/>
    <s v="Cynthia Price"/>
    <s v="P008"/>
    <s v="Bookshelf"/>
    <s v="Furniture"/>
    <n v="5"/>
    <n v="149.99"/>
    <s v="Credit Card"/>
    <x v="0"/>
    <s v="Basic"/>
    <d v="2024-01-19T00:00:00"/>
    <n v="749.95"/>
    <n v="0"/>
    <d v="2025-12-15T15:27:50"/>
    <s v="Boo"/>
    <m/>
    <m/>
  </r>
  <r>
    <s v="TRX0001"/>
    <d v="2024-08-24T00:00:00"/>
    <s v="CUST039"/>
    <s v="Lawrence Reed"/>
    <s v="P004"/>
    <s v="Coffee Maker"/>
    <s v="Appliances"/>
    <n v="3"/>
    <n v="79.989999999999995"/>
    <s v="Cash"/>
    <x v="0"/>
    <s v="Premium"/>
    <d v="2022-08-06T00:00:00"/>
    <n v="239.97"/>
    <n v="2"/>
    <d v="2025-12-15T15:27:50"/>
    <s v="Cof"/>
    <m/>
    <m/>
  </r>
  <r>
    <s v="TRX0037"/>
    <d v="2024-08-24T00:00:00"/>
    <s v="CUST035"/>
    <s v="Harry Morgan"/>
    <s v="P009"/>
    <s v="Monitor"/>
    <s v="Electronics"/>
    <n v="2"/>
    <n v="249.99"/>
    <s v="Cash"/>
    <x v="1"/>
    <s v="Standard"/>
    <d v="2022-01-11T00:00:00"/>
    <n v="499.98"/>
    <n v="2"/>
    <d v="2025-12-15T15:27:50"/>
    <s v="Mon"/>
    <m/>
    <m/>
  </r>
  <r>
    <s v="TRX0058"/>
    <d v="2024-08-28T00:00:00"/>
    <s v="CUST047"/>
    <s v="Gerald Murphy"/>
    <s v="P002"/>
    <s v="Smartphone"/>
    <s v="Electronics"/>
    <n v="1"/>
    <n v="699.99"/>
    <s v="Cash"/>
    <x v="0"/>
    <s v="Premium"/>
    <d v="2021-10-28T00:00:00"/>
    <n v="699.99"/>
    <n v="2"/>
    <d v="2025-12-15T15:27:50"/>
    <s v="Sma"/>
    <m/>
    <m/>
  </r>
  <r>
    <s v="TRX0170"/>
    <d v="2024-08-28T00:00:00"/>
    <s v="CUST034"/>
    <s v="Carol Evans"/>
    <s v="P003"/>
    <s v="Headphones"/>
    <s v="Electronics"/>
    <n v="3"/>
    <n v="149.99"/>
    <s v="Cash"/>
    <x v="3"/>
    <s v="Premium"/>
    <d v="2023-10-13T00:00:00"/>
    <n v="449.97"/>
    <n v="0"/>
    <d v="2025-12-15T15:27:50"/>
    <s v="Hea"/>
    <m/>
    <m/>
  </r>
  <r>
    <s v="TRX0248"/>
    <d v="2024-08-30T00:00:00"/>
    <s v="CUST032"/>
    <s v="Sandra Phillips"/>
    <s v="P002"/>
    <s v="Smartphone"/>
    <s v="Electronics"/>
    <n v="2"/>
    <n v="699.99"/>
    <s v="Credit Card"/>
    <x v="2"/>
    <s v="Premium"/>
    <d v="2021-08-13T00:00:00"/>
    <n v="1399.98"/>
    <n v="3"/>
    <d v="2025-12-15T15:27:50"/>
    <s v="Sma"/>
    <m/>
    <m/>
  </r>
  <r>
    <s v="TRX0099"/>
    <d v="2024-09-02T00:00:00"/>
    <s v="CUST034"/>
    <s v="Carol Evans"/>
    <s v="P009"/>
    <s v="Monitor"/>
    <s v="Electronics"/>
    <n v="1"/>
    <n v="249.99"/>
    <s v="Credit Card"/>
    <x v="3"/>
    <s v="Premium"/>
    <d v="2022-05-04T00:00:00"/>
    <n v="249.99"/>
    <n v="2"/>
    <d v="2025-12-15T15:27:50"/>
    <s v="Mon"/>
    <m/>
    <m/>
  </r>
  <r>
    <s v="TRX0074"/>
    <d v="2024-09-02T00:00:00"/>
    <s v="CUST023"/>
    <s v="Paul Baker"/>
    <s v="P009"/>
    <s v="Monitor"/>
    <s v="Electronics"/>
    <n v="1"/>
    <n v="249.99"/>
    <s v="Debit Card"/>
    <x v="2"/>
    <s v="Premium"/>
    <d v="2024-02-10T00:00:00"/>
    <n v="249.99"/>
    <n v="0"/>
    <d v="2025-12-15T15:27:50"/>
    <s v="Mon"/>
    <m/>
    <m/>
  </r>
  <r>
    <s v="TRX0225"/>
    <d v="2024-09-03T00:00:00"/>
    <s v="CUST039"/>
    <s v="Lawrence Reed"/>
    <s v="P002"/>
    <s v="Smartphone"/>
    <s v="Electronics"/>
    <n v="2"/>
    <n v="699.99"/>
    <s v="Debit Card"/>
    <x v="0"/>
    <s v="Premium"/>
    <d v="2022-11-05T00:00:00"/>
    <n v="1399.98"/>
    <n v="1"/>
    <d v="2025-12-15T15:27:50"/>
    <s v="Sma"/>
    <m/>
    <m/>
  </r>
  <r>
    <s v="TRX0100"/>
    <d v="2024-09-06T00:00:00"/>
    <s v="CUST031"/>
    <s v="Steven Turner"/>
    <s v="P005"/>
    <s v="Blender"/>
    <s v="Appliances"/>
    <n v="3"/>
    <n v="59.99"/>
    <s v="Credit Card"/>
    <x v="0"/>
    <s v="Premium"/>
    <d v="2022-06-05T00:00:00"/>
    <n v="179.97"/>
    <n v="2"/>
    <d v="2025-12-15T15:27:50"/>
    <s v="Ble"/>
    <m/>
    <m/>
  </r>
  <r>
    <s v="TRX0142"/>
    <d v="2024-09-09T00:00:00"/>
    <s v="CUST002"/>
    <s v="Emma Wilson"/>
    <s v="P005"/>
    <s v="Blender"/>
    <s v="Appliances"/>
    <n v="3"/>
    <n v="59.99"/>
    <s v="PayPal"/>
    <x v="4"/>
    <s v="Standard"/>
    <d v="2022-07-06T00:00:00"/>
    <n v="179.97"/>
    <n v="2"/>
    <d v="2025-12-15T15:27:50"/>
    <s v="Ble"/>
    <m/>
    <m/>
  </r>
  <r>
    <s v="TRX0112"/>
    <d v="2024-09-09T00:00:00"/>
    <s v="CUST008"/>
    <s v="Jennifer Taylor"/>
    <s v="P004"/>
    <s v="Coffee Maker"/>
    <s v="Appliances"/>
    <n v="4"/>
    <n v="79.989999999999995"/>
    <s v="Cash"/>
    <x v="2"/>
    <s v="Basic"/>
    <d v="2021-11-30T00:00:00"/>
    <n v="319.95999999999998"/>
    <n v="2"/>
    <d v="2025-12-15T15:27:50"/>
    <s v="Cof"/>
    <m/>
    <m/>
  </r>
  <r>
    <s v="TRX0161"/>
    <d v="2024-09-10T00:00:00"/>
    <s v="CUST017"/>
    <s v="Charles Allen"/>
    <s v="P004"/>
    <s v="Coffee Maker"/>
    <s v="Appliances"/>
    <n v="1"/>
    <n v="79.989999999999995"/>
    <s v="Cash"/>
    <x v="3"/>
    <s v="Basic"/>
    <d v="2022-05-12T00:00:00"/>
    <n v="79.989999999999995"/>
    <n v="2"/>
    <d v="2025-12-15T15:27:50"/>
    <s v="Cof"/>
    <m/>
    <m/>
  </r>
  <r>
    <s v="TRX0108"/>
    <d v="2024-09-12T00:00:00"/>
    <s v="CUST024"/>
    <s v="Dorothy Nelson"/>
    <s v="P007"/>
    <s v="Desk"/>
    <s v="Furniture"/>
    <n v="3"/>
    <n v="299.99"/>
    <s v="Credit Card"/>
    <x v="0"/>
    <s v="Premium"/>
    <d v="2021-10-25T00:00:00"/>
    <n v="899.97"/>
    <n v="2"/>
    <d v="2025-12-15T15:27:50"/>
    <s v="Des"/>
    <m/>
    <m/>
  </r>
  <r>
    <s v="TRX0211"/>
    <d v="2024-09-13T00:00:00"/>
    <s v="CUST046"/>
    <s v="Kathleen Bennett"/>
    <s v="P010"/>
    <s v="Keyboard"/>
    <s v="Electronics"/>
    <n v="2"/>
    <n v="89.99"/>
    <s v="Credit Card"/>
    <x v="1"/>
    <s v="Premium"/>
    <d v="2022-03-21T00:00:00"/>
    <n v="179.98"/>
    <n v="2"/>
    <d v="2025-12-15T15:27:50"/>
    <s v="Key"/>
    <m/>
    <m/>
  </r>
  <r>
    <s v="TRX0005"/>
    <d v="2024-09-15T00:00:00"/>
    <s v="CUST042"/>
    <s v="Ruth Brooks"/>
    <s v="P003"/>
    <s v="Headphones"/>
    <s v="Electronics"/>
    <n v="4"/>
    <n v="149.99"/>
    <s v="Cash"/>
    <x v="2"/>
    <s v="Basic"/>
    <d v="2022-12-14T00:00:00"/>
    <n v="599.96"/>
    <n v="1"/>
    <d v="2025-12-15T15:27:50"/>
    <s v="Hea"/>
    <m/>
    <m/>
  </r>
  <r>
    <s v="TRX0195"/>
    <d v="2024-09-16T00:00:00"/>
    <s v="CUST026"/>
    <s v="Karen Hill"/>
    <s v="P009"/>
    <s v="Monitor"/>
    <s v="Electronics"/>
    <n v="2"/>
    <n v="249.99"/>
    <s v="PayPal"/>
    <x v="1"/>
    <s v="Basic"/>
    <d v="2023-03-08T00:00:00"/>
    <n v="499.98"/>
    <n v="1"/>
    <d v="2025-12-15T15:27:50"/>
    <s v="Mon"/>
    <m/>
    <m/>
  </r>
  <r>
    <s v="TRX0054"/>
    <d v="2024-09-16T00:00:00"/>
    <s v="CUST004"/>
    <s v="Sarah Davis"/>
    <s v="P006"/>
    <s v="Office Chair"/>
    <s v="Furniture"/>
    <n v="4"/>
    <n v="199.99"/>
    <s v="Debit Card"/>
    <x v="4"/>
    <s v="Basic"/>
    <d v="2021-09-19T00:00:00"/>
    <n v="799.96"/>
    <n v="2"/>
    <d v="2025-12-15T15:27:50"/>
    <s v="Off"/>
    <m/>
    <m/>
  </r>
  <r>
    <s v="TRX0077"/>
    <d v="2024-09-19T00:00:00"/>
    <s v="CUST019"/>
    <s v="Daniel King"/>
    <s v="P010"/>
    <s v="Keyboard"/>
    <s v="Electronics"/>
    <n v="5"/>
    <n v="89.99"/>
    <s v="Credit Card"/>
    <x v="4"/>
    <s v="Premium"/>
    <d v="2021-09-07T00:00:00"/>
    <n v="449.95"/>
    <n v="3"/>
    <d v="2025-12-15T15:27:50"/>
    <s v="Key"/>
    <m/>
    <m/>
  </r>
  <r>
    <s v="TRX0111"/>
    <d v="2024-09-19T00:00:00"/>
    <s v="CUST011"/>
    <s v="William White"/>
    <s v="P003"/>
    <s v="Headphones"/>
    <s v="Electronics"/>
    <n v="1"/>
    <n v="149.99"/>
    <s v="PayPal"/>
    <x v="4"/>
    <s v="Standard"/>
    <d v="2021-10-13T00:00:00"/>
    <n v="149.99"/>
    <n v="2"/>
    <d v="2025-12-15T15:27:50"/>
    <s v="Hea"/>
    <m/>
    <m/>
  </r>
  <r>
    <s v="TRX0123"/>
    <d v="2024-09-19T00:00:00"/>
    <s v="CUST041"/>
    <s v="Peter Richardson"/>
    <s v="P002"/>
    <s v="Smartphone"/>
    <s v="Electronics"/>
    <n v="4"/>
    <n v="699.99"/>
    <s v="PayPal"/>
    <x v="1"/>
    <s v="Basic"/>
    <d v="2022-02-26T00:00:00"/>
    <n v="2799.96"/>
    <n v="2"/>
    <d v="2025-12-15T15:27:50"/>
    <s v="Sma"/>
    <m/>
    <m/>
  </r>
  <r>
    <s v="TRX0177"/>
    <d v="2024-09-24T00:00:00"/>
    <s v="CUST032"/>
    <s v="Sandra Phillips"/>
    <s v="P001"/>
    <s v="Laptop"/>
    <s v="Electronics"/>
    <n v="3"/>
    <n v="899.99"/>
    <s v="Credit Card"/>
    <x v="2"/>
    <s v="Standard"/>
    <d v="2023-08-19T00:00:00"/>
    <n v="2699.97"/>
    <n v="1"/>
    <d v="2025-12-15T15:27:50"/>
    <s v="Lap"/>
    <m/>
    <m/>
  </r>
  <r>
    <s v="TRX0119"/>
    <d v="2024-09-25T00:00:00"/>
    <s v="CUST014"/>
    <s v="Linda Martin"/>
    <s v="P008"/>
    <s v="Bookshelf"/>
    <s v="Furniture"/>
    <n v="3"/>
    <n v="149.99"/>
    <s v="PayPal"/>
    <x v="4"/>
    <s v="Basic"/>
    <d v="2022-11-21T00:00:00"/>
    <n v="449.97"/>
    <n v="1"/>
    <d v="2025-12-15T15:27:50"/>
    <s v="Boo"/>
    <m/>
    <m/>
  </r>
  <r>
    <s v="TRX0181"/>
    <d v="2024-09-28T00:00:00"/>
    <s v="CUST012"/>
    <s v="Patricia Moore"/>
    <s v="P007"/>
    <s v="Desk"/>
    <s v="Furniture"/>
    <n v="2"/>
    <n v="299.99"/>
    <s v="Debit Card"/>
    <x v="0"/>
    <s v="Basic"/>
    <d v="2022-01-08T00:00:00"/>
    <n v="599.98"/>
    <n v="2"/>
    <d v="2025-12-15T15:27:50"/>
    <s v="Des"/>
    <m/>
    <m/>
  </r>
  <r>
    <s v="TRX0129"/>
    <d v="2024-09-29T00:00:00"/>
    <s v="CUST015"/>
    <s v="Richard Lee"/>
    <s v="P006"/>
    <s v="Office Chair"/>
    <s v="Furniture"/>
    <n v="1"/>
    <n v="199.99"/>
    <s v="Debit Card"/>
    <x v="4"/>
    <s v="Standard"/>
    <d v="2023-01-27T00:00:00"/>
    <n v="199.99"/>
    <n v="1"/>
    <d v="2025-12-15T15:27:50"/>
    <s v="Off"/>
    <m/>
    <m/>
  </r>
  <r>
    <s v="TRX0174"/>
    <d v="2024-10-01T00:00:00"/>
    <s v="CUST003"/>
    <s v="Michael Brown"/>
    <s v="P007"/>
    <s v="Desk"/>
    <s v="Furniture"/>
    <n v="4"/>
    <n v="299.99"/>
    <s v="Cash"/>
    <x v="0"/>
    <s v="Premium"/>
    <d v="2021-09-21T00:00:00"/>
    <n v="1199.96"/>
    <n v="3"/>
    <d v="2025-12-15T15:27:50"/>
    <s v="Des"/>
    <m/>
    <m/>
  </r>
  <r>
    <s v="TRX0146"/>
    <d v="2024-10-07T00:00:00"/>
    <s v="CUST010"/>
    <s v="Maria Garcia"/>
    <s v="P005"/>
    <s v="Blender"/>
    <s v="Appliances"/>
    <n v="2"/>
    <n v="59.99"/>
    <s v="Credit Card"/>
    <x v="0"/>
    <s v="Basic"/>
    <d v="2022-01-18T00:00:00"/>
    <n v="119.98"/>
    <n v="2"/>
    <d v="2025-12-15T15:27:50"/>
    <s v="Ble"/>
    <m/>
    <m/>
  </r>
  <r>
    <s v="TRX0203"/>
    <d v="2024-10-07T00:00:00"/>
    <s v="CUST032"/>
    <s v="Sandra Phillips"/>
    <s v="P003"/>
    <s v="Headphones"/>
    <s v="Electronics"/>
    <n v="4"/>
    <n v="149.99"/>
    <s v="Credit Card"/>
    <x v="2"/>
    <s v="Premium"/>
    <d v="2023-05-30T00:00:00"/>
    <n v="599.96"/>
    <n v="1"/>
    <d v="2025-12-15T15:27:50"/>
    <s v="Hea"/>
    <m/>
    <m/>
  </r>
  <r>
    <s v="TRX0055"/>
    <d v="2024-10-08T00:00:00"/>
    <s v="CUST016"/>
    <s v="Elizabeth Hall"/>
    <s v="P002"/>
    <s v="Smartphone"/>
    <s v="Electronics"/>
    <n v="2"/>
    <n v="699.99"/>
    <s v="Debit Card"/>
    <x v="4"/>
    <s v="Premium"/>
    <d v="2023-12-14T00:00:00"/>
    <n v="1399.98"/>
    <n v="0"/>
    <d v="2025-12-15T15:27:50"/>
    <s v="Sma"/>
    <m/>
    <m/>
  </r>
  <r>
    <s v="TRX0218"/>
    <d v="2024-10-08T00:00:00"/>
    <s v="CUST034"/>
    <s v="Carol Evans"/>
    <s v="P008"/>
    <s v="Bookshelf"/>
    <s v="Furniture"/>
    <n v="3"/>
    <n v="149.99"/>
    <s v="Credit Card"/>
    <x v="1"/>
    <s v="Standard"/>
    <d v="2023-01-14T00:00:00"/>
    <n v="449.97"/>
    <n v="1"/>
    <d v="2025-12-15T15:27:50"/>
    <s v="Boo"/>
    <m/>
    <m/>
  </r>
  <r>
    <s v="TRX0085"/>
    <d v="2024-10-11T00:00:00"/>
    <s v="CUST019"/>
    <s v="Daniel King"/>
    <s v="P007"/>
    <s v="Desk"/>
    <s v="Furniture"/>
    <n v="3"/>
    <n v="299.99"/>
    <s v="Credit Card"/>
    <x v="0"/>
    <s v="Standard"/>
    <d v="2023-09-05T00:00:00"/>
    <n v="899.97"/>
    <n v="1"/>
    <d v="2025-12-15T15:27:50"/>
    <s v="Des"/>
    <m/>
    <m/>
  </r>
  <r>
    <s v="TRX0158"/>
    <d v="2024-10-14T00:00:00"/>
    <s v="CUST027"/>
    <s v="George Adams"/>
    <s v="P001"/>
    <s v="Laptop"/>
    <s v="Electronics"/>
    <n v="3"/>
    <n v="899.99"/>
    <s v="PayPal"/>
    <x v="3"/>
    <s v="Basic"/>
    <d v="2023-10-16T00:00:00"/>
    <n v="2699.97"/>
    <n v="0"/>
    <d v="2025-12-15T15:27:50"/>
    <s v="Lap"/>
    <m/>
    <m/>
  </r>
  <r>
    <s v="TRX0173"/>
    <d v="2024-10-16T00:00:00"/>
    <s v="CUST018"/>
    <s v="Barbara Young"/>
    <s v="P002"/>
    <s v="Smartphone"/>
    <s v="Electronics"/>
    <n v="5"/>
    <n v="699.99"/>
    <s v="Cash"/>
    <x v="4"/>
    <s v="Standard"/>
    <d v="2023-03-23T00:00:00"/>
    <n v="3499.95"/>
    <n v="1"/>
    <d v="2025-12-15T15:27:50"/>
    <s v="Sma"/>
    <m/>
    <m/>
  </r>
  <r>
    <s v="TRX0034"/>
    <d v="2024-10-16T00:00:00"/>
    <s v="CUST049"/>
    <s v="Raymond Ross"/>
    <s v="P002"/>
    <s v="Smartphone"/>
    <s v="Electronics"/>
    <n v="4"/>
    <n v="699.99"/>
    <s v="Credit Card"/>
    <x v="0"/>
    <s v="Basic"/>
    <d v="2024-04-03T00:00:00"/>
    <n v="2799.96"/>
    <n v="0"/>
    <d v="2025-12-15T15:27:50"/>
    <s v="Sma"/>
    <m/>
    <m/>
  </r>
  <r>
    <s v="TRX0189"/>
    <d v="2024-10-16T00:00:00"/>
    <s v="CUST040"/>
    <s v="Sharon Butler"/>
    <s v="P001"/>
    <s v="Laptop"/>
    <s v="Electronics"/>
    <n v="1"/>
    <n v="899.99"/>
    <s v="Credit Card"/>
    <x v="4"/>
    <s v="Standard"/>
    <d v="2024-03-18T00:00:00"/>
    <n v="899.99"/>
    <n v="0"/>
    <d v="2025-12-15T15:27:50"/>
    <s v="Lap"/>
    <m/>
    <m/>
  </r>
  <r>
    <s v="TRX0190"/>
    <d v="2024-10-18T00:00:00"/>
    <s v="CUST039"/>
    <s v="Lawrence Reed"/>
    <s v="P003"/>
    <s v="Headphones"/>
    <s v="Electronics"/>
    <n v="2"/>
    <n v="149.99"/>
    <s v="Credit Card"/>
    <x v="3"/>
    <s v="Basic"/>
    <d v="2022-12-21T00:00:00"/>
    <n v="299.98"/>
    <n v="1"/>
    <d v="2025-12-15T15:27:50"/>
    <s v="Hea"/>
    <m/>
    <m/>
  </r>
  <r>
    <s v="TRX0079"/>
    <d v="2024-10-21T00:00:00"/>
    <s v="CUST039"/>
    <s v="Lawrence Reed"/>
    <s v="P010"/>
    <s v="Keyboard"/>
    <s v="Electronics"/>
    <n v="3"/>
    <n v="89.99"/>
    <s v="PayPal"/>
    <x v="0"/>
    <s v="Basic"/>
    <d v="2021-12-21T00:00:00"/>
    <n v="269.97000000000003"/>
    <n v="2"/>
    <d v="2025-12-15T15:27:50"/>
    <s v="Key"/>
    <m/>
    <m/>
  </r>
  <r>
    <s v="TRX0095"/>
    <d v="2024-10-23T00:00:00"/>
    <s v="CUST046"/>
    <s v="Kathleen Bennett"/>
    <s v="P003"/>
    <s v="Headphones"/>
    <s v="Electronics"/>
    <n v="2"/>
    <n v="149.99"/>
    <s v="PayPal"/>
    <x v="0"/>
    <s v="Basic"/>
    <d v="2021-10-04T00:00:00"/>
    <n v="299.98"/>
    <n v="3"/>
    <d v="2025-12-15T15:27:50"/>
    <s v="Hea"/>
    <m/>
    <m/>
  </r>
  <r>
    <s v="TRX0009"/>
    <d v="2024-10-23T00:00:00"/>
    <s v="CUST004"/>
    <s v="Sarah Davis"/>
    <s v="P002"/>
    <s v="Smartphone"/>
    <s v="Electronics"/>
    <n v="2"/>
    <n v="699.99"/>
    <s v="Cash"/>
    <x v="0"/>
    <s v="Basic"/>
    <d v="2023-03-07T00:00:00"/>
    <n v="1399.98"/>
    <n v="1"/>
    <d v="2025-12-15T15:27:50"/>
    <s v="Sma"/>
    <m/>
    <m/>
  </r>
  <r>
    <s v="TRX0167"/>
    <d v="2024-10-24T00:00:00"/>
    <s v="CUST028"/>
    <s v="Betty Campbell"/>
    <s v="P002"/>
    <s v="Smartphone"/>
    <s v="Electronics"/>
    <n v="5"/>
    <n v="699.99"/>
    <s v="Cash"/>
    <x v="2"/>
    <s v="Premium"/>
    <d v="2022-03-15T00:00:00"/>
    <n v="3499.95"/>
    <n v="2"/>
    <d v="2025-12-15T15:27:50"/>
    <s v="Sma"/>
    <m/>
    <m/>
  </r>
  <r>
    <s v="TRX0153"/>
    <d v="2024-10-27T00:00:00"/>
    <s v="CUST049"/>
    <s v="Raymond Ross"/>
    <s v="P010"/>
    <s v="Keyboard"/>
    <s v="Electronics"/>
    <n v="3"/>
    <n v="89.99"/>
    <s v="Credit Card"/>
    <x v="2"/>
    <s v="Standard"/>
    <d v="2022-02-23T00:00:00"/>
    <n v="269.97000000000003"/>
    <n v="2"/>
    <d v="2025-12-15T15:27:50"/>
    <s v="Key"/>
    <m/>
    <m/>
  </r>
  <r>
    <s v="TRX0057"/>
    <d v="2024-11-01T00:00:00"/>
    <s v="CUST023"/>
    <s v="Paul Baker"/>
    <s v="P009"/>
    <s v="Monitor"/>
    <s v="Electronics"/>
    <n v="5"/>
    <n v="249.99"/>
    <s v="Credit Card"/>
    <x v="1"/>
    <s v="Standard"/>
    <d v="2022-11-16T00:00:00"/>
    <n v="1249.95"/>
    <n v="1"/>
    <d v="2025-12-15T15:27:50"/>
    <s v="Mon"/>
    <m/>
    <m/>
  </r>
  <r>
    <s v="TRX0017"/>
    <d v="2024-11-04T00:00:00"/>
    <s v="CUST026"/>
    <s v="Karen Hill"/>
    <s v="P007"/>
    <s v="Desk"/>
    <s v="Furniture"/>
    <n v="3"/>
    <n v="299.99"/>
    <s v="Credit Card"/>
    <x v="1"/>
    <s v="Standard"/>
    <d v="2021-11-02T00:00:00"/>
    <n v="899.97"/>
    <n v="3"/>
    <d v="2025-12-15T15:27:50"/>
    <s v="Des"/>
    <m/>
    <m/>
  </r>
  <r>
    <s v="TRX0060"/>
    <d v="2024-11-07T00:00:00"/>
    <s v="CUST012"/>
    <s v="Patricia Moore"/>
    <s v="P010"/>
    <s v="Keyboard"/>
    <s v="Electronics"/>
    <n v="3"/>
    <n v="89.99"/>
    <s v="Credit Card"/>
    <x v="2"/>
    <s v="Premium"/>
    <d v="2021-08-12T00:00:00"/>
    <n v="269.97000000000003"/>
    <n v="3"/>
    <d v="2025-12-15T15:27:50"/>
    <s v="Key"/>
    <m/>
    <m/>
  </r>
  <r>
    <s v="TRX0109"/>
    <d v="2024-11-08T00:00:00"/>
    <s v="CUST010"/>
    <s v="Maria Garcia"/>
    <s v="P008"/>
    <s v="Bookshelf"/>
    <s v="Furniture"/>
    <n v="2"/>
    <n v="149.99"/>
    <s v="Credit Card"/>
    <x v="3"/>
    <s v="Premium"/>
    <d v="2022-10-14T00:00:00"/>
    <n v="299.98"/>
    <n v="2"/>
    <d v="2025-12-15T15:27:50"/>
    <s v="Boo"/>
    <m/>
    <m/>
  </r>
  <r>
    <s v="TRX0090"/>
    <d v="2024-11-09T00:00:00"/>
    <s v="CUST020"/>
    <s v="Margaret Wright"/>
    <s v="P009"/>
    <s v="Monitor"/>
    <s v="Electronics"/>
    <n v="1"/>
    <n v="249.99"/>
    <s v="Credit Card"/>
    <x v="2"/>
    <s v="Premium"/>
    <d v="2022-09-24T00:00:00"/>
    <n v="249.99"/>
    <n v="2"/>
    <d v="2025-12-15T15:27:50"/>
    <s v="Mon"/>
    <m/>
    <m/>
  </r>
  <r>
    <s v="TRX0035"/>
    <d v="2024-11-11T00:00:00"/>
    <s v="CUST041"/>
    <s v="Peter Richardson"/>
    <s v="P003"/>
    <s v="Headphones"/>
    <s v="Electronics"/>
    <n v="3"/>
    <n v="149.99"/>
    <s v="Cash"/>
    <x v="2"/>
    <s v="Basic"/>
    <d v="2022-07-27T00:00:00"/>
    <n v="449.97"/>
    <n v="2"/>
    <d v="2025-12-15T15:27:50"/>
    <s v="Hea"/>
    <m/>
    <m/>
  </r>
  <r>
    <s v="TRX0172"/>
    <d v="2024-11-11T00:00:00"/>
    <s v="CUST023"/>
    <s v="Paul Baker"/>
    <s v="P005"/>
    <s v="Blender"/>
    <s v="Appliances"/>
    <n v="5"/>
    <n v="59.99"/>
    <s v="PayPal"/>
    <x v="3"/>
    <s v="Premium"/>
    <d v="2022-05-13T00:00:00"/>
    <n v="299.95"/>
    <n v="2"/>
    <d v="2025-12-15T15:27:50"/>
    <s v="Ble"/>
    <m/>
    <m/>
  </r>
  <r>
    <s v="TRX0076"/>
    <d v="2024-11-11T00:00:00"/>
    <s v="CUST012"/>
    <s v="Patricia Moore"/>
    <s v="P009"/>
    <s v="Monitor"/>
    <s v="Electronics"/>
    <n v="4"/>
    <n v="249.99"/>
    <s v="Credit Card"/>
    <x v="3"/>
    <s v="Standard"/>
    <d v="2022-04-08T00:00:00"/>
    <n v="999.96"/>
    <n v="2"/>
    <d v="2025-12-15T15:27:50"/>
    <s v="Mon"/>
    <m/>
    <m/>
  </r>
  <r>
    <s v="TRX0210"/>
    <d v="2024-11-12T00:00:00"/>
    <s v="CUST004"/>
    <s v="Sarah Davis"/>
    <s v="P008"/>
    <s v="Bookshelf"/>
    <s v="Furniture"/>
    <n v="5"/>
    <n v="149.99"/>
    <s v="PayPal"/>
    <x v="0"/>
    <s v="Basic"/>
    <d v="2022-12-06T00:00:00"/>
    <n v="749.95"/>
    <n v="1"/>
    <d v="2025-12-15T15:27:50"/>
    <s v="Boo"/>
    <m/>
    <m/>
  </r>
  <r>
    <s v="TRX0149"/>
    <d v="2024-11-12T00:00:00"/>
    <s v="CUST027"/>
    <s v="George Adams"/>
    <s v="P005"/>
    <s v="Blender"/>
    <s v="Appliances"/>
    <n v="3"/>
    <n v="59.99"/>
    <s v="Debit Card"/>
    <x v="1"/>
    <s v="Standard"/>
    <d v="2023-11-30T00:00:00"/>
    <n v="179.97"/>
    <n v="0"/>
    <d v="2025-12-15T15:27:50"/>
    <s v="Ble"/>
    <m/>
    <m/>
  </r>
  <r>
    <s v="TRX0073"/>
    <d v="2024-11-17T00:00:00"/>
    <s v="CUST032"/>
    <s v="Sandra Phillips"/>
    <s v="P008"/>
    <s v="Bookshelf"/>
    <s v="Furniture"/>
    <n v="5"/>
    <n v="149.99"/>
    <s v="Cash"/>
    <x v="2"/>
    <s v="Basic"/>
    <d v="2022-11-04T00:00:00"/>
    <n v="749.95"/>
    <n v="2"/>
    <d v="2025-12-15T15:27:50"/>
    <s v="Boo"/>
    <m/>
    <m/>
  </r>
  <r>
    <s v="TRX0033"/>
    <d v="2024-11-17T00:00:00"/>
    <s v="CUST025"/>
    <s v="Mark Carter"/>
    <s v="P002"/>
    <s v="Smartphone"/>
    <s v="Electronics"/>
    <n v="2"/>
    <n v="699.99"/>
    <s v="PayPal"/>
    <x v="3"/>
    <s v="Standard"/>
    <d v="2022-07-28T00:00:00"/>
    <n v="1399.98"/>
    <n v="2"/>
    <d v="2025-12-15T15:27:50"/>
    <s v="Sma"/>
    <m/>
    <m/>
  </r>
  <r>
    <s v="TRX0160"/>
    <d v="2024-11-21T00:00:00"/>
    <s v="CUST029"/>
    <s v="Edward Mitchell"/>
    <s v="P006"/>
    <s v="Office Chair"/>
    <s v="Furniture"/>
    <n v="4"/>
    <n v="199.99"/>
    <s v="Debit Card"/>
    <x v="0"/>
    <s v="Premium"/>
    <d v="2021-08-19T00:00:00"/>
    <n v="799.96"/>
    <n v="3"/>
    <d v="2025-12-15T15:27:50"/>
    <s v="Off"/>
    <m/>
    <m/>
  </r>
  <r>
    <s v="TRX0145"/>
    <d v="2024-11-23T00:00:00"/>
    <s v="CUST033"/>
    <s v="Frank Torres"/>
    <s v="P005"/>
    <s v="Blender"/>
    <s v="Appliances"/>
    <n v="1"/>
    <n v="59.99"/>
    <s v="Debit Card"/>
    <x v="3"/>
    <s v="Standard"/>
    <d v="2021-12-30T00:00:00"/>
    <n v="59.99"/>
    <n v="2"/>
    <d v="2025-12-15T15:27:50"/>
    <s v="Ble"/>
    <m/>
    <m/>
  </r>
  <r>
    <s v="TRX0148"/>
    <d v="2024-11-23T00:00:00"/>
    <s v="CUST004"/>
    <s v="Sarah Davis"/>
    <s v="P002"/>
    <s v="Smartphone"/>
    <s v="Electronics"/>
    <n v="3"/>
    <n v="699.99"/>
    <s v="PayPal"/>
    <x v="3"/>
    <s v="Standard"/>
    <d v="2022-01-22T00:00:00"/>
    <n v="2099.9699999999998"/>
    <n v="2"/>
    <d v="2025-12-15T15:27:50"/>
    <s v="Sma"/>
    <m/>
    <m/>
  </r>
  <r>
    <s v="TRX0012"/>
    <d v="2024-11-26T00:00:00"/>
    <s v="CUST045"/>
    <s v="Douglas Watson"/>
    <s v="P009"/>
    <s v="Monitor"/>
    <s v="Electronics"/>
    <n v="5"/>
    <n v="249.99"/>
    <s v="Credit Card"/>
    <x v="2"/>
    <s v="Basic"/>
    <d v="2022-11-08T00:00:00"/>
    <n v="1249.95"/>
    <n v="2"/>
    <d v="2025-12-15T15:27:50"/>
    <s v="Mon"/>
    <m/>
    <m/>
  </r>
  <r>
    <s v="TRX0206"/>
    <d v="2024-11-27T00:00:00"/>
    <s v="CUST014"/>
    <s v="Linda Martin"/>
    <s v="P008"/>
    <s v="Bookshelf"/>
    <s v="Furniture"/>
    <n v="2"/>
    <n v="149.99"/>
    <s v="Cash"/>
    <x v="1"/>
    <s v="Standard"/>
    <d v="2023-06-24T00:00:00"/>
    <n v="299.98"/>
    <n v="1"/>
    <d v="2025-12-15T15:27:50"/>
    <s v="Boo"/>
    <m/>
    <m/>
  </r>
  <r>
    <s v="TRX0045"/>
    <d v="2024-12-01T00:00:00"/>
    <s v="CUST021"/>
    <s v="Kevin Scott"/>
    <s v="P007"/>
    <s v="Desk"/>
    <s v="Furniture"/>
    <n v="3"/>
    <n v="299.99"/>
    <s v="Cash"/>
    <x v="1"/>
    <s v="Premium"/>
    <d v="2022-04-08T00:00:00"/>
    <n v="899.97"/>
    <n v="2"/>
    <d v="2025-12-15T15:27:50"/>
    <s v="Des"/>
    <m/>
    <m/>
  </r>
  <r>
    <s v="TRX0094"/>
    <d v="2024-12-01T00:00:00"/>
    <s v="CUST017"/>
    <s v="Charles Allen"/>
    <s v="P009"/>
    <s v="Monitor"/>
    <s v="Electronics"/>
    <n v="5"/>
    <n v="249.99"/>
    <s v="Cash"/>
    <x v="0"/>
    <s v="Premium"/>
    <d v="2021-10-16T00:00:00"/>
    <n v="1249.95"/>
    <n v="3"/>
    <d v="2025-12-15T15:27:50"/>
    <s v="Mon"/>
    <m/>
    <m/>
  </r>
  <r>
    <s v="TRX0133"/>
    <d v="2024-12-01T00:00:00"/>
    <s v="CUST013"/>
    <s v="Joseph Jackson"/>
    <s v="P003"/>
    <s v="Headphones"/>
    <s v="Electronics"/>
    <n v="2"/>
    <n v="149.99"/>
    <s v="Cash"/>
    <x v="1"/>
    <s v="Premium"/>
    <d v="2021-10-06T00:00:00"/>
    <n v="299.98"/>
    <n v="3"/>
    <d v="2025-12-15T15:27:50"/>
    <s v="Hea"/>
    <m/>
    <m/>
  </r>
  <r>
    <s v="TRX0201"/>
    <d v="2024-12-01T00:00:00"/>
    <s v="CUST025"/>
    <s v="Mark Carter"/>
    <s v="P002"/>
    <s v="Smartphone"/>
    <s v="Electronics"/>
    <n v="5"/>
    <n v="699.99"/>
    <s v="Debit Card"/>
    <x v="3"/>
    <s v="Standard"/>
    <d v="2023-01-18T00:00:00"/>
    <n v="3499.95"/>
    <n v="1"/>
    <d v="2025-12-15T15:27:50"/>
    <s v="Sma"/>
    <m/>
    <m/>
  </r>
  <r>
    <s v="TRX0137"/>
    <d v="2024-12-03T00:00:00"/>
    <s v="CUST011"/>
    <s v="William White"/>
    <s v="P009"/>
    <s v="Monitor"/>
    <s v="Electronics"/>
    <n v="4"/>
    <n v="249.99"/>
    <s v="PayPal"/>
    <x v="4"/>
    <s v="Premium"/>
    <d v="2023-06-21T00:00:00"/>
    <n v="999.96"/>
    <n v="1"/>
    <d v="2025-12-15T15:27:50"/>
    <s v="Mon"/>
    <m/>
    <m/>
  </r>
  <r>
    <s v="TRX0066"/>
    <d v="2024-12-04T00:00:00"/>
    <s v="CUST024"/>
    <s v="Dorothy Nelson"/>
    <s v="P002"/>
    <s v="Smartphone"/>
    <s v="Electronics"/>
    <n v="4"/>
    <n v="699.99"/>
    <s v="Credit Card"/>
    <x v="2"/>
    <s v="Premium"/>
    <d v="2022-05-22T00:00:00"/>
    <n v="2799.96"/>
    <n v="2"/>
    <d v="2025-12-15T15:27:50"/>
    <s v="Sma"/>
    <m/>
    <m/>
  </r>
  <r>
    <s v="TRX0180"/>
    <d v="2024-12-09T00:00:00"/>
    <s v="CUST036"/>
    <s v="Nancy Collins"/>
    <s v="P009"/>
    <s v="Monitor"/>
    <s v="Electronics"/>
    <n v="2"/>
    <n v="249.99"/>
    <s v="Credit Card"/>
    <x v="0"/>
    <s v="Premium"/>
    <d v="2021-07-19T00:00:00"/>
    <n v="499.98"/>
    <n v="3"/>
    <d v="2025-12-15T15:27:50"/>
    <s v="Mon"/>
    <m/>
    <m/>
  </r>
  <r>
    <s v="TRX0082"/>
    <d v="2024-12-09T00:00:00"/>
    <s v="CUST005"/>
    <s v="James Johnson"/>
    <s v="P005"/>
    <s v="Blender"/>
    <s v="Appliances"/>
    <n v="3"/>
    <n v="59.99"/>
    <s v="Cash"/>
    <x v="0"/>
    <s v="Premium"/>
    <d v="2023-05-06T00:00:00"/>
    <n v="179.97"/>
    <n v="1"/>
    <d v="2025-12-15T15:27:50"/>
    <s v="Ble"/>
    <m/>
    <m/>
  </r>
  <r>
    <s v="TRX0036"/>
    <d v="2024-12-09T00:00:00"/>
    <s v="CUST008"/>
    <s v="Jennifer Taylor"/>
    <s v="P004"/>
    <s v="Coffee Maker"/>
    <s v="Appliances"/>
    <n v="4"/>
    <n v="79.989999999999995"/>
    <s v="Debit Card"/>
    <x v="4"/>
    <s v="Standard"/>
    <d v="2022-12-26T00:00:00"/>
    <n v="319.95999999999998"/>
    <n v="1"/>
    <d v="2025-12-15T15:27:50"/>
    <s v="Cof"/>
    <m/>
    <m/>
  </r>
  <r>
    <s v="TRX0198"/>
    <d v="2024-12-10T00:00:00"/>
    <s v="CUST030"/>
    <s v="Helen Roberts"/>
    <s v="P004"/>
    <s v="Coffee Maker"/>
    <s v="Appliances"/>
    <n v="3"/>
    <n v="79.989999999999995"/>
    <s v="Debit Card"/>
    <x v="4"/>
    <s v="Standard"/>
    <d v="2022-08-06T00:00:00"/>
    <n v="239.97"/>
    <n v="2"/>
    <d v="2025-12-15T15:27:50"/>
    <s v="Cof"/>
    <m/>
    <m/>
  </r>
  <r>
    <s v="TRX0032"/>
    <d v="2024-12-12T00:00:00"/>
    <s v="CUST041"/>
    <s v="Peter Richardson"/>
    <s v="P001"/>
    <s v="Laptop"/>
    <s v="Electronics"/>
    <n v="2"/>
    <n v="899.99"/>
    <s v="Cash"/>
    <x v="2"/>
    <s v="Basic"/>
    <d v="2021-07-29T00:00:00"/>
    <n v="1799.98"/>
    <n v="3"/>
    <d v="2025-12-15T15:27:50"/>
    <s v="Lap"/>
    <m/>
    <m/>
  </r>
  <r>
    <s v="TRX0081"/>
    <d v="2024-12-15T00:00:00"/>
    <s v="CUST007"/>
    <s v="David Martinez"/>
    <s v="P008"/>
    <s v="Bookshelf"/>
    <s v="Furniture"/>
    <n v="1"/>
    <n v="149.99"/>
    <s v="Debit Card"/>
    <x v="4"/>
    <s v="Standard"/>
    <d v="2023-10-01T00:00:00"/>
    <n v="149.99"/>
    <n v="1"/>
    <d v="2025-12-15T15:27:50"/>
    <s v="Boo"/>
    <m/>
    <m/>
  </r>
  <r>
    <s v="TRX0224"/>
    <d v="2024-12-15T00:00:00"/>
    <s v="CUST031"/>
    <s v="Steven Turner"/>
    <s v="P007"/>
    <s v="Desk"/>
    <s v="Furniture"/>
    <n v="2"/>
    <n v="299.99"/>
    <s v="Cash"/>
    <x v="4"/>
    <s v="Premium"/>
    <d v="2022-06-12T00:00:00"/>
    <n v="599.98"/>
    <n v="2"/>
    <d v="2025-12-15T15:27:50"/>
    <s v="Des"/>
    <m/>
    <m/>
  </r>
  <r>
    <s v="TRX0028"/>
    <d v="2024-12-18T00:00:00"/>
    <s v="CUST002"/>
    <s v="Emma Wilson"/>
    <s v="P005"/>
    <s v="Blender"/>
    <s v="Appliances"/>
    <n v="2"/>
    <n v="59.99"/>
    <s v="Cash"/>
    <x v="3"/>
    <s v="Basic"/>
    <d v="2023-09-22T00:00:00"/>
    <n v="119.98"/>
    <n v="1"/>
    <d v="2025-12-15T15:27:50"/>
    <s v="Ble"/>
    <m/>
    <m/>
  </r>
  <r>
    <s v="TRX0183"/>
    <d v="2024-12-19T00:00:00"/>
    <s v="CUST007"/>
    <s v="David Martinez"/>
    <s v="P010"/>
    <s v="Keyboard"/>
    <s v="Electronics"/>
    <n v="1"/>
    <n v="89.99"/>
    <s v="Debit Card"/>
    <x v="0"/>
    <s v="Standard"/>
    <d v="2022-07-18T00:00:00"/>
    <n v="89.99"/>
    <n v="2"/>
    <d v="2025-12-15T15:27:50"/>
    <s v="Key"/>
    <m/>
    <m/>
  </r>
  <r>
    <s v="TRX0163"/>
    <d v="2024-12-19T00:00:00"/>
    <s v="CUST019"/>
    <s v="Daniel King"/>
    <s v="P001"/>
    <s v="Laptop"/>
    <s v="Electronics"/>
    <n v="5"/>
    <n v="899.99"/>
    <s v="Debit Card"/>
    <x v="4"/>
    <s v="Standard"/>
    <d v="2022-03-05T00:00:00"/>
    <n v="4499.95"/>
    <n v="2"/>
    <d v="2025-12-15T15:27:50"/>
    <s v="Lap"/>
    <m/>
    <m/>
  </r>
  <r>
    <s v="TRX0046"/>
    <d v="2024-12-20T00:00:00"/>
    <s v="CUST003"/>
    <s v="Michael Brown"/>
    <s v="P008"/>
    <s v="Bookshelf"/>
    <s v="Furniture"/>
    <n v="2"/>
    <n v="149.99"/>
    <s v="Cash"/>
    <x v="1"/>
    <s v="Basic"/>
    <d v="2023-11-09T00:00:00"/>
    <n v="299.98"/>
    <n v="1"/>
    <d v="2025-12-15T15:27:50"/>
    <s v="Boo"/>
    <m/>
    <m/>
  </r>
  <r>
    <s v="TRX0164"/>
    <d v="2024-12-22T00:00:00"/>
    <s v="CUST014"/>
    <s v="Linda Martin"/>
    <s v="P003"/>
    <s v="Headphones"/>
    <s v="Electronics"/>
    <n v="2"/>
    <n v="149.99"/>
    <s v="Debit Card"/>
    <x v="3"/>
    <s v="Premium"/>
    <d v="2023-12-20T00:00:00"/>
    <n v="299.98"/>
    <n v="1"/>
    <d v="2025-12-15T15:27:50"/>
    <s v="Hea"/>
    <m/>
    <m/>
  </r>
  <r>
    <s v="TRX0008"/>
    <d v="2024-12-22T00:00:00"/>
    <s v="CUST007"/>
    <s v="David Martinez"/>
    <s v="P008"/>
    <s v="Bookshelf"/>
    <s v="Furniture"/>
    <n v="3"/>
    <n v="149.99"/>
    <s v="Debit Card"/>
    <x v="2"/>
    <s v="Standard"/>
    <d v="2021-11-22T00:00:00"/>
    <n v="449.97"/>
    <n v="3"/>
    <d v="2025-12-15T15:27:50"/>
    <s v="Boo"/>
    <m/>
    <m/>
  </r>
  <r>
    <s v="TRX0171"/>
    <d v="2024-12-23T00:00:00"/>
    <s v="CUST021"/>
    <s v="Kevin Scott"/>
    <s v="P007"/>
    <s v="Desk"/>
    <s v="Furniture"/>
    <n v="2"/>
    <n v="299.99"/>
    <s v="PayPal"/>
    <x v="1"/>
    <s v="Basic"/>
    <d v="2022-06-09T00:00:00"/>
    <n v="599.98"/>
    <n v="2"/>
    <d v="2025-12-15T15:27:50"/>
    <s v="Des"/>
    <m/>
    <m/>
  </r>
  <r>
    <s v="TRX0143"/>
    <d v="2024-12-28T00:00:00"/>
    <s v="CUST003"/>
    <s v="Michael Brown"/>
    <s v="P007"/>
    <s v="Desk"/>
    <s v="Furniture"/>
    <n v="2"/>
    <n v="299.99"/>
    <s v="Cash"/>
    <x v="3"/>
    <s v="Basic"/>
    <d v="2022-07-29T00:00:00"/>
    <n v="599.98"/>
    <n v="2"/>
    <d v="2025-12-15T15:27:50"/>
    <s v="Des"/>
    <m/>
    <m/>
  </r>
  <r>
    <s v="TRX0165"/>
    <d v="2024-12-28T00:00:00"/>
    <s v="CUST030"/>
    <s v="Helen Roberts"/>
    <s v="P006"/>
    <s v="Office Chair"/>
    <s v="Furniture"/>
    <n v="4"/>
    <n v="199.99"/>
    <s v="Credit Card"/>
    <x v="0"/>
    <s v="Basic"/>
    <d v="2021-11-23T00:00:00"/>
    <n v="799.96"/>
    <n v="3"/>
    <d v="2025-12-15T15:27:50"/>
    <s v="Off"/>
    <m/>
    <m/>
  </r>
  <r>
    <s v="TRX0156"/>
    <d v="2024-12-29T00:00:00"/>
    <s v="CUST009"/>
    <s v="Robert Thomas"/>
    <s v="P010"/>
    <s v="Keyboard"/>
    <s v="Electronics"/>
    <n v="1"/>
    <n v="89.99"/>
    <s v="Credit Card"/>
    <x v="1"/>
    <s v="Premium"/>
    <d v="2022-01-30T00:00:00"/>
    <n v="89.99"/>
    <n v="2"/>
    <d v="2025-12-15T15:27:50"/>
    <s v="Key"/>
    <m/>
    <m/>
  </r>
  <r>
    <s v="TRX0147"/>
    <d v="2024-12-29T00:00:00"/>
    <s v="CUST036"/>
    <s v="Nancy Collins"/>
    <s v="P008"/>
    <s v="Bookshelf"/>
    <s v="Furniture"/>
    <n v="5"/>
    <n v="149.99"/>
    <s v="Cash"/>
    <x v="0"/>
    <s v="Premium"/>
    <d v="2024-02-25T00:00:00"/>
    <n v="749.95"/>
    <n v="0"/>
    <d v="2025-12-15T15:27:50"/>
    <s v="Boo"/>
    <m/>
    <m/>
  </r>
  <r>
    <s v="TRX0207"/>
    <d v="2024-12-31T00:00:00"/>
    <s v="CUST025"/>
    <s v="Mark Carter"/>
    <s v="P001"/>
    <s v="Laptop"/>
    <s v="Electronics"/>
    <n v="1"/>
    <n v="899.99"/>
    <s v="PayPal"/>
    <x v="2"/>
    <s v="Premium"/>
    <d v="2023-05-04T00:00:00"/>
    <n v="899.99"/>
    <n v="1"/>
    <d v="2025-12-15T15:27:50"/>
    <s v="Lap"/>
    <m/>
    <m/>
  </r>
  <r>
    <s v="TRX0056"/>
    <d v="2025-01-03T00:00:00"/>
    <s v="CUST019"/>
    <s v="Daniel King"/>
    <s v="P010"/>
    <s v="Keyboard"/>
    <s v="Electronics"/>
    <n v="2"/>
    <n v="89.99"/>
    <s v="Credit Card"/>
    <x v="1"/>
    <s v="Premium"/>
    <d v="2022-01-03T00:00:00"/>
    <n v="179.98"/>
    <n v="3"/>
    <d v="2025-12-15T15:27:50"/>
    <s v="Key"/>
    <m/>
    <m/>
  </r>
  <r>
    <s v="TRX0026"/>
    <d v="2025-01-04T00:00:00"/>
    <s v="CUST037"/>
    <s v="Arthur Edwards"/>
    <s v="P001"/>
    <s v="Laptop"/>
    <s v="Electronics"/>
    <n v="1"/>
    <n v="899.99"/>
    <s v="PayPal"/>
    <x v="2"/>
    <s v="Standard"/>
    <d v="2022-07-10T00:00:00"/>
    <n v="899.99"/>
    <n v="2"/>
    <d v="2025-12-15T15:27:50"/>
    <s v="Lap"/>
    <m/>
    <m/>
  </r>
  <r>
    <s v="TRX0237"/>
    <d v="2025-01-06T00:00:00"/>
    <s v="CUST006"/>
    <s v="Lisa Anderson"/>
    <s v="P003"/>
    <s v="Headphones"/>
    <s v="Electronics"/>
    <n v="5"/>
    <n v="149.99"/>
    <s v="PayPal"/>
    <x v="4"/>
    <s v="Premium"/>
    <d v="2022-09-20T00:00:00"/>
    <n v="749.95"/>
    <n v="2"/>
    <d v="2025-12-15T15:27:50"/>
    <s v="Hea"/>
    <m/>
    <m/>
  </r>
  <r>
    <s v="TRX0091"/>
    <d v="2025-01-06T00:00:00"/>
    <s v="CUST003"/>
    <s v="Michael Brown"/>
    <s v="P007"/>
    <s v="Desk"/>
    <s v="Furniture"/>
    <n v="3"/>
    <n v="299.99"/>
    <s v="Cash"/>
    <x v="1"/>
    <s v="Standard"/>
    <d v="2021-08-14T00:00:00"/>
    <n v="899.97"/>
    <n v="3"/>
    <d v="2025-12-15T15:27:50"/>
    <s v="Des"/>
    <m/>
    <m/>
  </r>
  <r>
    <s v="TRX0125"/>
    <d v="2025-01-09T00:00:00"/>
    <s v="CUST026"/>
    <s v="Karen Hill"/>
    <s v="P002"/>
    <s v="Smartphone"/>
    <s v="Electronics"/>
    <n v="3"/>
    <n v="699.99"/>
    <s v="Credit Card"/>
    <x v="0"/>
    <s v="Premium"/>
    <d v="2023-06-28T00:00:00"/>
    <n v="2099.9699999999998"/>
    <n v="1"/>
    <d v="2025-12-15T15:27:50"/>
    <s v="Sma"/>
    <m/>
    <m/>
  </r>
  <r>
    <s v="TRX0223"/>
    <d v="2025-01-10T00:00:00"/>
    <s v="CUST036"/>
    <s v="Nancy Collins"/>
    <s v="P006"/>
    <s v="Office Chair"/>
    <s v="Furniture"/>
    <n v="5"/>
    <n v="199.99"/>
    <s v="PayPal"/>
    <x v="0"/>
    <s v="Standard"/>
    <d v="2022-03-13T00:00:00"/>
    <n v="999.95"/>
    <n v="2"/>
    <d v="2025-12-15T15:27:50"/>
    <s v="Off"/>
    <m/>
    <m/>
  </r>
  <r>
    <s v="TRX0243"/>
    <d v="2025-01-10T00:00:00"/>
    <s v="CUST048"/>
    <s v="Virginia Sanders"/>
    <s v="P009"/>
    <s v="Monitor"/>
    <s v="Electronics"/>
    <n v="5"/>
    <n v="249.99"/>
    <s v="Credit Card"/>
    <x v="1"/>
    <s v="Basic"/>
    <d v="2024-02-08T00:00:00"/>
    <n v="1249.95"/>
    <n v="0"/>
    <d v="2025-12-15T15:27:50"/>
    <s v="Mon"/>
    <m/>
    <m/>
  </r>
  <r>
    <s v="TRX0084"/>
    <d v="2025-01-11T00:00:00"/>
    <s v="CUST031"/>
    <s v="Steven Turner"/>
    <s v="P003"/>
    <s v="Headphones"/>
    <s v="Electronics"/>
    <n v="4"/>
    <n v="149.99"/>
    <s v="Debit Card"/>
    <x v="4"/>
    <s v="Standard"/>
    <d v="2021-12-06T00:00:00"/>
    <n v="599.96"/>
    <n v="3"/>
    <d v="2025-12-15T15:27:50"/>
    <s v="Hea"/>
    <m/>
    <m/>
  </r>
  <r>
    <s v="TRX0238"/>
    <d v="2025-01-11T00:00:00"/>
    <s v="CUST038"/>
    <s v="Michelle Rogers"/>
    <s v="P002"/>
    <s v="Smartphone"/>
    <s v="Electronics"/>
    <n v="3"/>
    <n v="699.99"/>
    <s v="Cash"/>
    <x v="2"/>
    <s v="Premium"/>
    <d v="2022-02-10T00:00:00"/>
    <n v="2099.9699999999998"/>
    <n v="2"/>
    <d v="2025-12-15T15:27:50"/>
    <s v="Sma"/>
    <m/>
    <m/>
  </r>
  <r>
    <s v="TRX0102"/>
    <d v="2025-01-13T00:00:00"/>
    <s v="CUST045"/>
    <s v="Douglas Watson"/>
    <s v="P004"/>
    <s v="Coffee Maker"/>
    <s v="Appliances"/>
    <n v="1"/>
    <n v="79.989999999999995"/>
    <s v="Credit Card"/>
    <x v="1"/>
    <s v="Basic"/>
    <d v="2024-01-31T00:00:00"/>
    <n v="79.989999999999995"/>
    <n v="0"/>
    <d v="2025-12-15T15:27:50"/>
    <s v="Cof"/>
    <m/>
    <m/>
  </r>
  <r>
    <s v="TRX0022"/>
    <d v="2025-01-13T00:00:00"/>
    <s v="CUST025"/>
    <s v="Mark Carter"/>
    <s v="P007"/>
    <s v="Desk"/>
    <s v="Furniture"/>
    <n v="1"/>
    <n v="299.99"/>
    <s v="Credit Card"/>
    <x v="2"/>
    <s v="Basic"/>
    <d v="2021-08-28T00:00:00"/>
    <n v="299.99"/>
    <n v="3"/>
    <d v="2025-12-15T15:27:50"/>
    <s v="Des"/>
    <m/>
    <m/>
  </r>
  <r>
    <s v="TRX0087"/>
    <d v="2025-01-14T00:00:00"/>
    <s v="CUST028"/>
    <s v="Betty Campbell"/>
    <s v="P009"/>
    <s v="Monitor"/>
    <s v="Electronics"/>
    <n v="4"/>
    <n v="249.99"/>
    <s v="Credit Card"/>
    <x v="2"/>
    <s v="Premium"/>
    <d v="2021-09-21T00:00:00"/>
    <n v="999.96"/>
    <n v="3"/>
    <d v="2025-12-15T15:27:50"/>
    <s v="Mon"/>
    <m/>
    <m/>
  </r>
  <r>
    <s v="TRX0107"/>
    <d v="2025-01-14T00:00:00"/>
    <s v="CUST030"/>
    <s v="Helen Roberts"/>
    <s v="P003"/>
    <s v="Headphones"/>
    <s v="Electronics"/>
    <n v="2"/>
    <n v="149.99"/>
    <s v="Cash"/>
    <x v="2"/>
    <s v="Standard"/>
    <d v="2022-12-18T00:00:00"/>
    <n v="299.98"/>
    <n v="2"/>
    <d v="2025-12-15T15:27:50"/>
    <s v="Hea"/>
    <m/>
    <m/>
  </r>
  <r>
    <s v="TRX0051"/>
    <d v="2025-01-14T00:00:00"/>
    <s v="CUST032"/>
    <s v="Sandra Phillips"/>
    <s v="P007"/>
    <s v="Desk"/>
    <s v="Furniture"/>
    <n v="3"/>
    <n v="299.99"/>
    <s v="Credit Card"/>
    <x v="1"/>
    <s v="Basic"/>
    <d v="2023-10-05T00:00:00"/>
    <n v="899.97"/>
    <n v="1"/>
    <d v="2025-12-15T15:27:50"/>
    <s v="Des"/>
    <m/>
    <m/>
  </r>
  <r>
    <s v="TRX0106"/>
    <d v="2025-01-16T00:00:00"/>
    <s v="CUST039"/>
    <s v="Lawrence Reed"/>
    <s v="P006"/>
    <s v="Office Chair"/>
    <s v="Furniture"/>
    <n v="4"/>
    <n v="199.99"/>
    <s v="Debit Card"/>
    <x v="1"/>
    <s v="Standard"/>
    <d v="2021-12-14T00:00:00"/>
    <n v="799.96"/>
    <n v="3"/>
    <d v="2025-12-15T15:27:50"/>
    <s v="Off"/>
    <m/>
    <m/>
  </r>
  <r>
    <s v="TRX0059"/>
    <d v="2025-01-16T00:00:00"/>
    <s v="CUST016"/>
    <s v="Elizabeth Hall"/>
    <s v="P007"/>
    <s v="Desk"/>
    <s v="Furniture"/>
    <n v="5"/>
    <n v="299.99"/>
    <s v="Debit Card"/>
    <x v="0"/>
    <s v="Basic"/>
    <d v="2021-08-23T00:00:00"/>
    <n v="1499.95"/>
    <n v="3"/>
    <d v="2025-12-15T15:27:50"/>
    <s v="Des"/>
    <m/>
    <m/>
  </r>
  <r>
    <s v="TRX0072"/>
    <d v="2025-01-16T00:00:00"/>
    <s v="CUST009"/>
    <s v="Robert Thomas"/>
    <s v="P008"/>
    <s v="Bookshelf"/>
    <s v="Furniture"/>
    <n v="3"/>
    <n v="149.99"/>
    <s v="Credit Card"/>
    <x v="4"/>
    <s v="Standard"/>
    <d v="2021-07-18T00:00:00"/>
    <n v="449.97"/>
    <n v="3"/>
    <d v="2025-12-15T15:27:50"/>
    <s v="Boo"/>
    <m/>
    <m/>
  </r>
  <r>
    <s v="TRX0110"/>
    <d v="2025-01-19T00:00:00"/>
    <s v="CUST006"/>
    <s v="Lisa Anderson"/>
    <s v="P005"/>
    <s v="Blender"/>
    <s v="Appliances"/>
    <n v="5"/>
    <n v="59.99"/>
    <s v="Debit Card"/>
    <x v="4"/>
    <s v="Basic"/>
    <d v="2022-03-22T00:00:00"/>
    <n v="299.95"/>
    <n v="2"/>
    <d v="2025-12-15T15:27:50"/>
    <s v="Ble"/>
    <m/>
    <m/>
  </r>
  <r>
    <s v="TRX0126"/>
    <d v="2025-01-25T00:00:00"/>
    <s v="CUST022"/>
    <s v="Susan Green"/>
    <s v="P005"/>
    <s v="Blender"/>
    <s v="Appliances"/>
    <n v="4"/>
    <n v="59.99"/>
    <s v="Debit Card"/>
    <x v="4"/>
    <s v="Standard"/>
    <d v="2022-01-03T00:00:00"/>
    <n v="239.96"/>
    <n v="3"/>
    <d v="2025-12-15T15:27:50"/>
    <s v="Ble"/>
    <m/>
    <m/>
  </r>
  <r>
    <s v="TRX0159"/>
    <d v="2025-01-26T00:00:00"/>
    <s v="CUST024"/>
    <s v="Dorothy Nelson"/>
    <s v="P009"/>
    <s v="Monitor"/>
    <s v="Electronics"/>
    <n v="4"/>
    <n v="249.99"/>
    <s v="Debit Card"/>
    <x v="0"/>
    <s v="Premium"/>
    <d v="2023-10-18T00:00:00"/>
    <n v="999.96"/>
    <n v="1"/>
    <d v="2025-12-15T15:27:50"/>
    <s v="Mon"/>
    <m/>
    <m/>
  </r>
  <r>
    <s v="TRX0030"/>
    <d v="2025-01-29T00:00:00"/>
    <s v="CUST011"/>
    <s v="William White"/>
    <s v="P001"/>
    <s v="Laptop"/>
    <s v="Electronics"/>
    <n v="4"/>
    <n v="899.99"/>
    <s v="PayPal"/>
    <x v="0"/>
    <s v="Basic"/>
    <d v="2022-06-22T00:00:00"/>
    <n v="3599.96"/>
    <n v="2"/>
    <d v="2025-12-15T15:27:50"/>
    <s v="Lap"/>
    <m/>
    <m/>
  </r>
  <r>
    <s v="TRX0178"/>
    <d v="2025-01-29T00:00:00"/>
    <s v="CUST025"/>
    <s v="Mark Carter"/>
    <s v="P007"/>
    <s v="Desk"/>
    <s v="Furniture"/>
    <n v="3"/>
    <n v="299.99"/>
    <s v="Debit Card"/>
    <x v="3"/>
    <s v="Standard"/>
    <d v="2023-01-26T00:00:00"/>
    <n v="899.97"/>
    <n v="2"/>
    <d v="2025-12-15T15:27:50"/>
    <s v="Des"/>
    <m/>
    <m/>
  </r>
  <r>
    <s v="TRX0188"/>
    <d v="2025-01-29T00:00:00"/>
    <s v="CUST045"/>
    <s v="Douglas Watson"/>
    <s v="P002"/>
    <s v="Smartphone"/>
    <s v="Electronics"/>
    <n v="2"/>
    <n v="699.99"/>
    <s v="Debit Card"/>
    <x v="0"/>
    <s v="Premium"/>
    <d v="2022-04-30T00:00:00"/>
    <n v="1399.98"/>
    <n v="2"/>
    <d v="2025-12-15T15:27:50"/>
    <s v="Sma"/>
    <m/>
    <m/>
  </r>
  <r>
    <s v="TRX0010"/>
    <d v="2025-01-31T00:00:00"/>
    <s v="CUST026"/>
    <s v="Karen Hill"/>
    <s v="P002"/>
    <s v="Smartphone"/>
    <s v="Electronics"/>
    <n v="4"/>
    <n v="699.99"/>
    <s v="Debit Card"/>
    <x v="3"/>
    <s v="Premium"/>
    <d v="2022-05-11T00:00:00"/>
    <n v="2799.96"/>
    <n v="2"/>
    <d v="2025-12-15T15:27:50"/>
    <s v="Sma"/>
    <m/>
    <m/>
  </r>
  <r>
    <s v="TRX0069"/>
    <d v="2025-01-31T00:00:00"/>
    <s v="CUST029"/>
    <s v="Edward Mitchell"/>
    <s v="P010"/>
    <s v="Keyboard"/>
    <s v="Electronics"/>
    <n v="2"/>
    <n v="89.99"/>
    <s v="Debit Card"/>
    <x v="1"/>
    <s v="Basic"/>
    <d v="2022-08-04T00:00:00"/>
    <n v="179.98"/>
    <n v="2"/>
    <d v="2025-12-15T15:27:50"/>
    <s v="Key"/>
    <m/>
    <m/>
  </r>
  <r>
    <s v="TRX0166"/>
    <d v="2025-01-31T00:00:00"/>
    <s v="CUST003"/>
    <s v="Michael Brown"/>
    <s v="P010"/>
    <s v="Keyboard"/>
    <s v="Electronics"/>
    <n v="3"/>
    <n v="89.99"/>
    <s v="Debit Card"/>
    <x v="1"/>
    <s v="Premium"/>
    <d v="2024-01-16T00:00:00"/>
    <n v="269.97000000000003"/>
    <n v="1"/>
    <d v="2025-12-15T15:27:50"/>
    <s v="Key"/>
    <m/>
    <m/>
  </r>
  <r>
    <s v="TRX0219"/>
    <d v="2025-02-04T00:00:00"/>
    <s v="CUST037"/>
    <s v="Arthur Edwards"/>
    <s v="P005"/>
    <s v="Blender"/>
    <s v="Appliances"/>
    <n v="1"/>
    <n v="59.99"/>
    <s v="Debit Card"/>
    <x v="0"/>
    <s v="Standard"/>
    <d v="2023-04-29T00:00:00"/>
    <n v="59.99"/>
    <n v="1"/>
    <d v="2025-12-15T15:27:50"/>
    <s v="Ble"/>
    <m/>
    <m/>
  </r>
  <r>
    <s v="TRX0024"/>
    <d v="2025-02-07T00:00:00"/>
    <s v="CUST042"/>
    <s v="Ruth Brooks"/>
    <s v="P008"/>
    <s v="Bookshelf"/>
    <s v="Furniture"/>
    <n v="3"/>
    <n v="149.99"/>
    <s v="Debit Card"/>
    <x v="2"/>
    <s v="Premium"/>
    <d v="2022-01-03T00:00:00"/>
    <n v="449.97"/>
    <n v="3"/>
    <d v="2025-12-15T15:27:50"/>
    <s v="Boo"/>
    <m/>
    <m/>
  </r>
  <r>
    <s v="TRX0105"/>
    <d v="2025-02-07T00:00:00"/>
    <s v="CUST048"/>
    <s v="Virginia Sanders"/>
    <s v="P007"/>
    <s v="Desk"/>
    <s v="Furniture"/>
    <n v="5"/>
    <n v="299.99"/>
    <s v="Credit Card"/>
    <x v="1"/>
    <s v="Basic"/>
    <d v="2023-02-02T00:00:00"/>
    <n v="1499.95"/>
    <n v="2"/>
    <d v="2025-12-15T15:27:50"/>
    <s v="Des"/>
    <m/>
    <m/>
  </r>
  <r>
    <s v="TRX0011"/>
    <d v="2025-02-08T00:00:00"/>
    <s v="CUST040"/>
    <s v="Sharon Butler"/>
    <s v="P005"/>
    <s v="Blender"/>
    <s v="Appliances"/>
    <n v="5"/>
    <n v="59.99"/>
    <s v="Debit Card"/>
    <x v="0"/>
    <s v="Standard"/>
    <d v="2023-09-08T00:00:00"/>
    <n v="299.95"/>
    <n v="1"/>
    <d v="2025-12-15T15:27:50"/>
    <s v="Ble"/>
    <m/>
    <m/>
  </r>
  <r>
    <s v="TRX0187"/>
    <d v="2025-02-13T00:00:00"/>
    <s v="CUST036"/>
    <s v="Nancy Collins"/>
    <s v="P004"/>
    <s v="Coffee Maker"/>
    <s v="Appliances"/>
    <n v="3"/>
    <n v="79.989999999999995"/>
    <s v="Cash"/>
    <x v="4"/>
    <s v="Premium"/>
    <d v="2021-08-28T00:00:00"/>
    <n v="239.97"/>
    <n v="3"/>
    <d v="2025-12-15T15:27:50"/>
    <s v="Cof"/>
    <m/>
    <m/>
  </r>
  <r>
    <s v="TRX0089"/>
    <d v="2025-02-16T00:00:00"/>
    <s v="CUST021"/>
    <s v="Kevin Scott"/>
    <s v="P006"/>
    <s v="Office Chair"/>
    <s v="Furniture"/>
    <n v="3"/>
    <n v="199.99"/>
    <s v="Cash"/>
    <x v="0"/>
    <s v="Basic"/>
    <d v="2022-06-23T00:00:00"/>
    <n v="599.97"/>
    <n v="2"/>
    <d v="2025-12-15T15:27:50"/>
    <s v="Off"/>
    <m/>
    <m/>
  </r>
  <r>
    <s v="TRX0196"/>
    <d v="2025-02-16T00:00:00"/>
    <s v="CUST023"/>
    <s v="Paul Baker"/>
    <s v="P010"/>
    <s v="Keyboard"/>
    <s v="Electronics"/>
    <n v="2"/>
    <n v="89.99"/>
    <s v="PayPal"/>
    <x v="0"/>
    <s v="Basic"/>
    <d v="2023-11-27T00:00:00"/>
    <n v="179.98"/>
    <n v="1"/>
    <d v="2025-12-15T15:27:50"/>
    <s v="Key"/>
    <m/>
    <m/>
  </r>
  <r>
    <s v="TRX0118"/>
    <d v="2025-02-17T00:00:00"/>
    <s v="CUST015"/>
    <s v="Richard Lee"/>
    <s v="P008"/>
    <s v="Bookshelf"/>
    <s v="Furniture"/>
    <n v="2"/>
    <n v="149.99"/>
    <s v="Cash"/>
    <x v="1"/>
    <s v="Premium"/>
    <d v="2022-06-16T00:00:00"/>
    <n v="299.98"/>
    <n v="2"/>
    <d v="2025-12-15T15:27:50"/>
    <s v="Boo"/>
    <m/>
    <m/>
  </r>
  <r>
    <s v="TRX0179"/>
    <d v="2025-02-19T00:00:00"/>
    <s v="CUST029"/>
    <s v="Edward Mitchell"/>
    <s v="P002"/>
    <s v="Smartphone"/>
    <s v="Electronics"/>
    <n v="5"/>
    <n v="699.99"/>
    <s v="PayPal"/>
    <x v="1"/>
    <s v="Premium"/>
    <d v="2024-03-01T00:00:00"/>
    <n v="3499.95"/>
    <n v="0"/>
    <d v="2025-12-15T15:27:50"/>
    <s v="Sma"/>
    <m/>
    <m/>
  </r>
  <r>
    <s v="TRX0168"/>
    <d v="2025-02-19T00:00:00"/>
    <s v="CUST003"/>
    <s v="Michael Brown"/>
    <s v="P008"/>
    <s v="Bookshelf"/>
    <s v="Furniture"/>
    <n v="3"/>
    <n v="149.99"/>
    <s v="PayPal"/>
    <x v="0"/>
    <s v="Standard"/>
    <d v="2022-03-13T00:00:00"/>
    <n v="449.97"/>
    <n v="2"/>
    <d v="2025-12-15T15:27:50"/>
    <s v="Boo"/>
    <m/>
    <m/>
  </r>
  <r>
    <s v="TRX0214"/>
    <d v="2025-02-20T00:00:00"/>
    <s v="CUST018"/>
    <s v="Barbara Young"/>
    <s v="P001"/>
    <s v="Laptop"/>
    <s v="Electronics"/>
    <n v="3"/>
    <n v="899.99"/>
    <s v="Cash"/>
    <x v="4"/>
    <s v="Standard"/>
    <d v="2022-02-21T00:00:00"/>
    <n v="2699.97"/>
    <n v="2"/>
    <d v="2025-12-15T15:27:50"/>
    <s v="Lap"/>
    <m/>
    <m/>
  </r>
  <r>
    <s v="TRX0221"/>
    <d v="2025-02-20T00:00:00"/>
    <s v="CUST033"/>
    <s v="Frank Torres"/>
    <s v="P006"/>
    <s v="Office Chair"/>
    <s v="Furniture"/>
    <n v="3"/>
    <n v="199.99"/>
    <s v="Cash"/>
    <x v="3"/>
    <s v="Premium"/>
    <d v="2022-09-19T00:00:00"/>
    <n v="599.97"/>
    <n v="2"/>
    <d v="2025-12-15T15:27:50"/>
    <s v="Off"/>
    <m/>
    <m/>
  </r>
  <r>
    <s v="TRX0083"/>
    <d v="2025-02-22T00:00:00"/>
    <s v="CUST017"/>
    <s v="Charles Allen"/>
    <s v="P007"/>
    <s v="Desk"/>
    <s v="Furniture"/>
    <n v="5"/>
    <n v="299.99"/>
    <s v="Cash"/>
    <x v="3"/>
    <s v="Standard"/>
    <d v="2023-08-04T00:00:00"/>
    <n v="1499.95"/>
    <n v="1"/>
    <d v="2025-12-15T15:27:50"/>
    <s v="Des"/>
    <m/>
    <m/>
  </r>
  <r>
    <s v="TRX0151"/>
    <d v="2025-02-22T00:00:00"/>
    <s v="CUST040"/>
    <s v="Sharon Butler"/>
    <s v="P002"/>
    <s v="Smartphone"/>
    <s v="Electronics"/>
    <n v="1"/>
    <n v="699.99"/>
    <s v="PayPal"/>
    <x v="3"/>
    <s v="Basic"/>
    <d v="2023-01-08T00:00:00"/>
    <n v="699.99"/>
    <n v="2"/>
    <d v="2025-12-15T15:27:50"/>
    <s v="Sma"/>
    <m/>
    <m/>
  </r>
  <r>
    <s v="TRX0047"/>
    <d v="2025-02-23T00:00:00"/>
    <s v="CUST042"/>
    <s v="Ruth Brooks"/>
    <s v="P002"/>
    <s v="Smartphone"/>
    <s v="Electronics"/>
    <n v="1"/>
    <n v="699.99"/>
    <s v="Cash"/>
    <x v="2"/>
    <s v="Premium"/>
    <d v="2022-01-22T00:00:00"/>
    <n v="699.99"/>
    <n v="3"/>
    <d v="2025-12-15T15:27:50"/>
    <s v="Sma"/>
    <m/>
    <m/>
  </r>
  <r>
    <s v="TRX0200"/>
    <d v="2025-02-23T00:00:00"/>
    <s v="CUST037"/>
    <s v="Arthur Edwards"/>
    <s v="P008"/>
    <s v="Bookshelf"/>
    <s v="Furniture"/>
    <n v="4"/>
    <n v="149.99"/>
    <s v="PayPal"/>
    <x v="2"/>
    <s v="Premium"/>
    <d v="2021-08-04T00:00:00"/>
    <n v="599.96"/>
    <n v="3"/>
    <d v="2025-12-15T15:27:50"/>
    <s v="Boo"/>
    <m/>
    <m/>
  </r>
  <r>
    <s v="TRX0062"/>
    <d v="2025-02-23T00:00:00"/>
    <s v="CUST016"/>
    <s v="Elizabeth Hall"/>
    <s v="P010"/>
    <s v="Keyboard"/>
    <s v="Electronics"/>
    <n v="5"/>
    <n v="89.99"/>
    <s v="PayPal"/>
    <x v="3"/>
    <s v="Premium"/>
    <d v="2023-08-02T00:00:00"/>
    <n v="449.95"/>
    <n v="1"/>
    <d v="2025-12-15T15:27:50"/>
    <s v="Key"/>
    <m/>
    <m/>
  </r>
  <r>
    <s v="TRX0182"/>
    <d v="2025-02-24T00:00:00"/>
    <s v="CUST031"/>
    <s v="Steven Turner"/>
    <s v="P006"/>
    <s v="Office Chair"/>
    <s v="Furniture"/>
    <n v="2"/>
    <n v="199.99"/>
    <s v="Cash"/>
    <x v="0"/>
    <s v="Premium"/>
    <d v="2022-01-12T00:00:00"/>
    <n v="399.98"/>
    <n v="3"/>
    <d v="2025-12-15T15:27:50"/>
    <s v="Off"/>
    <m/>
    <m/>
  </r>
  <r>
    <s v="TRX0229"/>
    <d v="2025-02-27T00:00:00"/>
    <s v="CUST015"/>
    <s v="Richard Lee"/>
    <s v="P005"/>
    <s v="Blender"/>
    <s v="Appliances"/>
    <n v="4"/>
    <n v="59.99"/>
    <s v="Cash"/>
    <x v="3"/>
    <s v="Standard"/>
    <d v="2023-05-24T00:00:00"/>
    <n v="239.96"/>
    <n v="1"/>
    <d v="2025-12-15T15:27:50"/>
    <s v="Ble"/>
    <m/>
    <m/>
  </r>
  <r>
    <s v="TRX0048"/>
    <d v="2025-02-27T00:00:00"/>
    <s v="CUST048"/>
    <s v="Virginia Sanders"/>
    <s v="P007"/>
    <s v="Desk"/>
    <s v="Furniture"/>
    <n v="2"/>
    <n v="299.99"/>
    <s v="PayPal"/>
    <x v="1"/>
    <s v="Basic"/>
    <d v="2022-01-15T00:00:00"/>
    <n v="599.98"/>
    <n v="3"/>
    <d v="2025-12-15T15:27:50"/>
    <s v="Des"/>
    <m/>
    <m/>
  </r>
  <r>
    <s v="TRX0227"/>
    <d v="2025-03-02T00:00:00"/>
    <s v="CUST017"/>
    <s v="Charles Allen"/>
    <s v="P008"/>
    <s v="Bookshelf"/>
    <s v="Furniture"/>
    <n v="2"/>
    <n v="149.99"/>
    <s v="Cash"/>
    <x v="0"/>
    <s v="Basic"/>
    <d v="2023-05-22T00:00:00"/>
    <n v="299.98"/>
    <n v="1"/>
    <d v="2025-12-15T15:27:50"/>
    <s v="Boo"/>
    <m/>
    <m/>
  </r>
  <r>
    <s v="TRX0226"/>
    <d v="2025-03-04T00:00:00"/>
    <s v="CUST039"/>
    <s v="Lawrence Reed"/>
    <s v="P002"/>
    <s v="Smartphone"/>
    <s v="Electronics"/>
    <n v="5"/>
    <n v="699.99"/>
    <s v="Debit Card"/>
    <x v="4"/>
    <s v="Premium"/>
    <d v="2023-08-23T00:00:00"/>
    <n v="3499.95"/>
    <n v="1"/>
    <d v="2025-12-15T15:27:50"/>
    <s v="Sma"/>
    <m/>
    <m/>
  </r>
  <r>
    <s v="TRX0053"/>
    <d v="2025-03-05T00:00:00"/>
    <s v="CUST043"/>
    <s v="Dennis Gray"/>
    <s v="P005"/>
    <s v="Blender"/>
    <s v="Appliances"/>
    <n v="5"/>
    <n v="59.99"/>
    <s v="Cash"/>
    <x v="3"/>
    <s v="Premium"/>
    <d v="2023-12-31T00:00:00"/>
    <n v="299.95"/>
    <n v="1"/>
    <d v="2025-12-15T15:27:50"/>
    <s v="Ble"/>
    <m/>
    <m/>
  </r>
  <r>
    <s v="TRX0233"/>
    <d v="2025-03-07T00:00:00"/>
    <s v="CUST023"/>
    <s v="Paul Baker"/>
    <s v="P010"/>
    <s v="Keyboard"/>
    <s v="Electronics"/>
    <n v="2"/>
    <n v="89.99"/>
    <s v="Credit Card"/>
    <x v="3"/>
    <s v="Premium"/>
    <d v="2024-01-04T00:00:00"/>
    <n v="179.98"/>
    <n v="1"/>
    <d v="2025-12-15T15:27:50"/>
    <s v="Key"/>
    <m/>
    <m/>
  </r>
  <r>
    <s v="TRX0175"/>
    <d v="2025-03-07T00:00:00"/>
    <s v="CUST030"/>
    <s v="Helen Roberts"/>
    <s v="P009"/>
    <s v="Monitor"/>
    <s v="Electronics"/>
    <n v="5"/>
    <n v="249.99"/>
    <s v="Cash"/>
    <x v="4"/>
    <s v="Standard"/>
    <d v="2021-12-10T00:00:00"/>
    <n v="1249.95"/>
    <n v="3"/>
    <d v="2025-12-15T15:27:50"/>
    <s v="Mon"/>
    <m/>
    <m/>
  </r>
  <r>
    <s v="TRX0186"/>
    <d v="2025-03-08T00:00:00"/>
    <s v="CUST039"/>
    <s v="Lawrence Reed"/>
    <s v="P008"/>
    <s v="Bookshelf"/>
    <s v="Furniture"/>
    <n v="2"/>
    <n v="149.99"/>
    <s v="PayPal"/>
    <x v="0"/>
    <s v="Premium"/>
    <d v="2022-03-12T00:00:00"/>
    <n v="299.98"/>
    <n v="2"/>
    <d v="2025-12-15T15:27:50"/>
    <s v="Boo"/>
    <m/>
    <m/>
  </r>
  <r>
    <s v="TRX0016"/>
    <d v="2025-03-08T00:00:00"/>
    <s v="CUST035"/>
    <s v="Harry Morgan"/>
    <s v="P001"/>
    <s v="Laptop"/>
    <s v="Electronics"/>
    <n v="5"/>
    <n v="899.99"/>
    <s v="PayPal"/>
    <x v="4"/>
    <s v="Premium"/>
    <d v="2024-04-07T00:00:00"/>
    <n v="4499.95"/>
    <n v="0"/>
    <d v="2025-12-15T15:27:50"/>
    <s v="Lap"/>
    <m/>
    <m/>
  </r>
  <r>
    <s v="TRX0199"/>
    <d v="2025-03-08T00:00:00"/>
    <s v="CUST017"/>
    <s v="Charles Allen"/>
    <s v="P008"/>
    <s v="Bookshelf"/>
    <s v="Furniture"/>
    <n v="4"/>
    <n v="149.99"/>
    <s v="Cash"/>
    <x v="0"/>
    <s v="Standard"/>
    <d v="2023-12-03T00:00:00"/>
    <n v="599.96"/>
    <n v="1"/>
    <d v="2025-12-15T15:27:50"/>
    <s v="Boo"/>
    <m/>
    <m/>
  </r>
  <r>
    <s v="TRX0038"/>
    <d v="2025-03-10T00:00:00"/>
    <s v="CUST035"/>
    <s v="Harry Morgan"/>
    <s v="P009"/>
    <s v="Monitor"/>
    <s v="Electronics"/>
    <n v="1"/>
    <n v="249.99"/>
    <s v="Cash"/>
    <x v="2"/>
    <s v="Standard"/>
    <d v="2023-07-10T00:00:00"/>
    <n v="249.99"/>
    <n v="1"/>
    <d v="2025-12-15T15:27:50"/>
    <s v="Mon"/>
    <m/>
    <m/>
  </r>
  <r>
    <s v="TRX0014"/>
    <d v="2025-03-18T00:00:00"/>
    <s v="CUST033"/>
    <s v="Frank Torres"/>
    <s v="P005"/>
    <s v="Blender"/>
    <s v="Appliances"/>
    <n v="2"/>
    <n v="59.99"/>
    <s v="Credit Card"/>
    <x v="3"/>
    <s v="Basic"/>
    <d v="2023-09-24T00:00:00"/>
    <n v="119.98"/>
    <n v="1"/>
    <d v="2025-12-15T15:27:50"/>
    <s v="Ble"/>
    <m/>
    <m/>
  </r>
  <r>
    <s v="TRX0003"/>
    <d v="2025-03-21T00:00:00"/>
    <s v="CUST002"/>
    <s v="Emma Wilson"/>
    <s v="P008"/>
    <s v="Bookshelf"/>
    <s v="Furniture"/>
    <n v="2"/>
    <n v="149.99"/>
    <s v="Cash"/>
    <x v="3"/>
    <s v="Premium"/>
    <d v="2023-11-03T00:00:00"/>
    <n v="299.98"/>
    <n v="1"/>
    <d v="2025-12-15T15:27:50"/>
    <s v="Boo"/>
    <m/>
    <m/>
  </r>
  <r>
    <s v="TRX0124"/>
    <d v="2025-03-21T00:00:00"/>
    <s v="CUST040"/>
    <s v="Sharon Butler"/>
    <s v="P001"/>
    <s v="Laptop"/>
    <s v="Electronics"/>
    <n v="3"/>
    <n v="899.99"/>
    <s v="Debit Card"/>
    <x v="2"/>
    <s v="Premium"/>
    <d v="2022-11-11T00:00:00"/>
    <n v="2699.97"/>
    <n v="2"/>
    <d v="2025-12-15T15:27:50"/>
    <s v="Lap"/>
    <m/>
    <m/>
  </r>
  <r>
    <s v="TRX0013"/>
    <d v="2025-03-21T00:00:00"/>
    <s v="CUST024"/>
    <s v="Dorothy Nelson"/>
    <s v="P001"/>
    <s v="Laptop"/>
    <s v="Electronics"/>
    <n v="3"/>
    <n v="899.99"/>
    <s v="PayPal"/>
    <x v="2"/>
    <s v="Basic"/>
    <d v="2023-02-18T00:00:00"/>
    <n v="2699.97"/>
    <n v="2"/>
    <d v="2025-12-15T15:27:50"/>
    <s v="Lap"/>
    <m/>
    <m/>
  </r>
  <r>
    <s v="TRX0019"/>
    <d v="2025-03-23T00:00:00"/>
    <s v="CUST023"/>
    <s v="Paul Baker"/>
    <s v="P007"/>
    <s v="Desk"/>
    <s v="Furniture"/>
    <n v="3"/>
    <n v="299.99"/>
    <s v="Credit Card"/>
    <x v="3"/>
    <s v="Premium"/>
    <d v="2023-11-04T00:00:00"/>
    <n v="899.97"/>
    <n v="1"/>
    <d v="2025-12-15T15:27:50"/>
    <s v="Des"/>
    <m/>
    <m/>
  </r>
  <r>
    <s v="TRX0050"/>
    <d v="2025-03-24T00:00:00"/>
    <s v="CUST001"/>
    <s v="John Smith"/>
    <s v="P008"/>
    <s v="Bookshelf"/>
    <s v="Furniture"/>
    <n v="4"/>
    <n v="149.99"/>
    <s v="PayPal"/>
    <x v="3"/>
    <s v="Standard"/>
    <d v="2021-12-30T00:00:00"/>
    <n v="599.96"/>
    <n v="3"/>
    <d v="2025-12-15T15:27:50"/>
    <s v="Boo"/>
    <m/>
    <m/>
  </r>
  <r>
    <s v="TRX0152"/>
    <d v="2025-03-27T00:00:00"/>
    <s v="CUST044"/>
    <s v="Cynthia Price"/>
    <s v="P004"/>
    <s v="Coffee Maker"/>
    <s v="Appliances"/>
    <n v="4"/>
    <n v="79.989999999999995"/>
    <s v="Credit Card"/>
    <x v="0"/>
    <s v="Basic"/>
    <d v="2023-12-28T00:00:00"/>
    <n v="319.95999999999998"/>
    <n v="1"/>
    <d v="2025-12-15T15:27:50"/>
    <s v="Cof"/>
    <m/>
    <m/>
  </r>
  <r>
    <s v="TRX0213"/>
    <d v="2025-03-29T00:00:00"/>
    <s v="CUST020"/>
    <s v="Margaret Wright"/>
    <s v="P010"/>
    <s v="Keyboard"/>
    <s v="Electronics"/>
    <n v="5"/>
    <n v="89.99"/>
    <s v="PayPal"/>
    <x v="1"/>
    <s v="Basic"/>
    <d v="2022-05-23T00:00:00"/>
    <n v="449.95"/>
    <n v="2"/>
    <d v="2025-12-15T15:27:50"/>
    <s v="Key"/>
    <m/>
    <m/>
  </r>
  <r>
    <s v="TRX0197"/>
    <d v="2025-03-30T00:00:00"/>
    <s v="CUST048"/>
    <s v="Virginia Sanders"/>
    <s v="P008"/>
    <s v="Bookshelf"/>
    <s v="Furniture"/>
    <n v="3"/>
    <n v="149.99"/>
    <s v="PayPal"/>
    <x v="0"/>
    <s v="Standard"/>
    <d v="2023-09-02T00:00:00"/>
    <n v="449.97"/>
    <n v="1"/>
    <d v="2025-12-15T15:27:50"/>
    <s v="Boo"/>
    <m/>
    <m/>
  </r>
  <r>
    <s v="TRX0250"/>
    <d v="2025-03-30T00:00:00"/>
    <s v="CUST026"/>
    <s v="Karen Hill"/>
    <s v="P010"/>
    <s v="Keyboard"/>
    <s v="Electronics"/>
    <n v="2"/>
    <n v="89.99"/>
    <s v="Debit Card"/>
    <x v="3"/>
    <s v="Premium"/>
    <d v="2021-11-22T00:00:00"/>
    <n v="179.98"/>
    <n v="3"/>
    <d v="2025-12-15T15:27:50"/>
    <s v="Key"/>
    <m/>
    <m/>
  </r>
  <r>
    <s v="TRX0068"/>
    <d v="2025-04-01T00:00:00"/>
    <s v="CUST044"/>
    <s v="Cynthia Price"/>
    <s v="P002"/>
    <s v="Smartphone"/>
    <s v="Electronics"/>
    <n v="2"/>
    <n v="699.99"/>
    <s v="PayPal"/>
    <x v="2"/>
    <s v="Standard"/>
    <d v="2022-02-26T00:00:00"/>
    <n v="1399.98"/>
    <n v="3"/>
    <d v="2025-12-15T15:27:50"/>
    <s v="Sma"/>
    <m/>
    <m/>
  </r>
  <r>
    <s v="TRX0144"/>
    <d v="2025-04-02T00:00:00"/>
    <s v="CUST029"/>
    <s v="Edward Mitchell"/>
    <s v="P001"/>
    <s v="Laptop"/>
    <s v="Electronics"/>
    <n v="3"/>
    <n v="899.99"/>
    <s v="Cash"/>
    <x v="0"/>
    <s v="Standard"/>
    <d v="2023-01-27T00:00:00"/>
    <n v="2699.97"/>
    <n v="2"/>
    <d v="2025-12-15T15:27:50"/>
    <s v="Lap"/>
    <m/>
    <m/>
  </r>
  <r>
    <s v="TRX0039"/>
    <d v="2025-04-08T00:00:00"/>
    <s v="CUST048"/>
    <s v="Virginia Sanders"/>
    <s v="P004"/>
    <s v="Coffee Maker"/>
    <s v="Appliances"/>
    <n v="3"/>
    <n v="79.989999999999995"/>
    <s v="Credit Card"/>
    <x v="2"/>
    <s v="Basic"/>
    <d v="2021-11-11T00:00:00"/>
    <n v="239.97"/>
    <n v="3"/>
    <d v="2025-12-15T15:27:50"/>
    <s v="Cof"/>
    <m/>
    <m/>
  </r>
  <r>
    <s v="TRX0116"/>
    <d v="2025-04-09T00:00:00"/>
    <s v="CUST009"/>
    <s v="Robert Thomas"/>
    <s v="P010"/>
    <s v="Keyboard"/>
    <s v="Electronics"/>
    <n v="1"/>
    <n v="89.99"/>
    <s v="Debit Card"/>
    <x v="4"/>
    <s v="Basic"/>
    <d v="2024-02-24T00:00:00"/>
    <n v="89.99"/>
    <n v="1"/>
    <d v="2025-12-15T15:27:50"/>
    <s v="Key"/>
    <m/>
    <m/>
  </r>
  <r>
    <s v="TRX0120"/>
    <d v="2025-04-11T00:00:00"/>
    <s v="CUST045"/>
    <s v="Douglas Watson"/>
    <s v="P002"/>
    <s v="Smartphone"/>
    <s v="Electronics"/>
    <n v="3"/>
    <n v="699.99"/>
    <s v="PayPal"/>
    <x v="2"/>
    <s v="Basic"/>
    <d v="2022-12-14T00:00:00"/>
    <n v="2099.9699999999998"/>
    <n v="2"/>
    <d v="2025-12-15T15:27:50"/>
    <s v="Sma"/>
    <m/>
    <m/>
  </r>
  <r>
    <s v="TRX0103"/>
    <d v="2025-04-11T00:00:00"/>
    <s v="CUST039"/>
    <s v="Lawrence Reed"/>
    <s v="P010"/>
    <s v="Keyboard"/>
    <s v="Electronics"/>
    <n v="2"/>
    <n v="89.99"/>
    <s v="Debit Card"/>
    <x v="4"/>
    <s v="Basic"/>
    <d v="2023-06-11T00:00:00"/>
    <n v="179.98"/>
    <n v="1"/>
    <d v="2025-12-15T15:27:50"/>
    <s v="Key"/>
    <m/>
    <m/>
  </r>
  <r>
    <s v="TRX0064"/>
    <d v="2025-04-11T00:00:00"/>
    <s v="CUST031"/>
    <s v="Steven Turner"/>
    <s v="P010"/>
    <s v="Keyboard"/>
    <s v="Electronics"/>
    <n v="3"/>
    <n v="89.99"/>
    <s v="Debit Card"/>
    <x v="2"/>
    <s v="Premium"/>
    <d v="2022-11-13T00:00:00"/>
    <n v="269.97000000000003"/>
    <n v="2"/>
    <d v="2025-12-15T15:27:50"/>
    <s v="Key"/>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67DCC-83B8-443D-AB9A-2E903BDB23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7"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96F17-E9C6-4246-881B-937C87D089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7" firstHeaderRow="1" firstDataRow="1" firstDataCol="1"/>
  <pivotFields count="20">
    <pivotField showAll="0"/>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16"/>
    <field x="14"/>
    <field x="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formats count="1">
    <format dxfId="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9B0CC-DE36-48D8-9ECC-FE962E4E0BF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55FB4-A0A1-4109-81B4-1A8F430DDE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Total_Amount"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5" format="7">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0BFE3-2A57-4D9F-AAD2-66CDACCA81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51D3D1-53E0-46C1-81C1-66094F696BD3}" sourceName="Customer_Segment">
  <pivotTables>
    <pivotTable tabId="3" name="PivotTable1"/>
  </pivotTables>
  <data>
    <tabular pivotCacheId="5566655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946E648-0AE5-43CC-A77F-94B6BC2FB12D}" sourceName="Product_Name">
  <pivotTables>
    <pivotTable tabId="5" name="PivotTable3"/>
  </pivotTables>
  <data>
    <tabular pivotCacheId="556665522">
      <items count="10">
        <i x="1" s="1"/>
        <i x="2" s="1"/>
        <i x="7" s="1"/>
        <i x="6" s="1"/>
        <i x="3" s="1"/>
        <i x="8" s="1"/>
        <i x="4" s="1"/>
        <i x="0"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FB1A79-40AD-4A2E-A66B-7886760EB632}" sourceName="Category">
  <pivotTables>
    <pivotTable tabId="6" name="PivotTable4"/>
    <pivotTable tabId="3" name="PivotTable1"/>
    <pivotTable tabId="7" name="PivotTable5"/>
    <pivotTable tabId="5" name="PivotTable3"/>
  </pivotTables>
  <data>
    <tabular pivotCacheId="55666552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C9DB970-8291-433D-B105-3C08C4BAEEB0}" sourceName="Years (Date)">
  <pivotTables>
    <pivotTable tabId="7" name="PivotTable5"/>
    <pivotTable tabId="6" name="PivotTable4"/>
    <pivotTable tabId="3" name="PivotTable1"/>
    <pivotTable tabId="5" name="PivotTable3"/>
  </pivotTables>
  <data>
    <tabular pivotCacheId="556665522">
      <items count="4">
        <i x="1" s="1"/>
        <i x="2" s="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B32C06-C67C-4F1B-BBCA-9487BDFC302E}" sourceName="Region">
  <pivotTables>
    <pivotTable tabId="10" name="PivotTable1"/>
  </pivotTables>
  <data>
    <tabular pivotCacheId="1439159539">
      <items count="5">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3EE81BA-7A9F-48EB-A877-5B987EC565B2}" sourceName="Months (Date)">
  <pivotTables>
    <pivotTable tabId="7" name="PivotTable5"/>
    <pivotTable tabId="6" name="PivotTable4"/>
    <pivotTable tabId="3" name="PivotTable1"/>
    <pivotTable tabId="5" name="PivotTable3"/>
  </pivotTables>
  <data>
    <tabular pivotCacheId="55666552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3C4F1A9-F55A-48D7-A59A-9D66CEB151C8}" cache="Slicer_Category" caption="Category" style="Slicer Style 1" rowHeight="234950"/>
  <slicer name="Years (Date) 1" xr10:uid="{1A66243A-90C7-4C51-8057-C3F8E420357B}" cache="Slicer_Years__Date" caption="Years (Date)" style="Slicer Style 1" rowHeight="234950"/>
  <slicer name="Region 1" xr10:uid="{7159781D-BA29-4CC2-99E4-F20E06680931}" cache="Slicer_Region" caption="Region" style="Slicer Style 1" rowHeight="234950"/>
  <slicer name="Months (Date) 1" xr10:uid="{1A9CD5C6-AD1B-4BDF-94C4-C5539AF7D382}" cache="Slicer_Months__Date" caption="Months (Date)" columnCount="6"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54839E-CC16-4384-8535-A53F918EEB26}" cache="Slicer_Category" caption="Category"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76C09B67-B609-4CD0-8867-67AB2EDF2716}" cache="Slicer_Years__Date" caption="Years (Date)" style="Slicer Style 1" rowHeight="234950"/>
  <slicer name="Months (Date)" xr10:uid="{4E96204D-0E39-4D6D-A49E-0573BFB0E74B}" cache="Slicer_Months__Date" caption="Months (Date)" columnCount="4" style="Slicer Style 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79FA90-65BA-4773-BEEF-16402CB95708}" cache="Slicer_Region" caption="Region" style="Slicer Style 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875AA561-524D-41EB-A9E4-776F211499CD}" cache="Slicer_Customer_Segment" caption="Customer_Segmen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94CF419D-B9CE-4537-B070-4994F7B5121D}" cache="Slicer_Product_Name" caption="Product_Name" columnCount="5"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zoomScale="58" zoomScaleNormal="102" workbookViewId="0">
      <selection activeCell="B21" sqref="B21"/>
    </sheetView>
  </sheetViews>
  <sheetFormatPr defaultColWidth="14.44140625" defaultRowHeight="15" customHeight="1" x14ac:dyDescent="0.3"/>
  <cols>
    <col min="1" max="1" width="94.88671875" customWidth="1"/>
    <col min="2" max="2" width="8.6640625" customWidth="1"/>
    <col min="3" max="3" width="124.109375" customWidth="1"/>
    <col min="4" max="25" width="8.6640625" customWidth="1"/>
  </cols>
  <sheetData>
    <row r="1" spans="1:25" ht="34.950000000000003" customHeight="1" x14ac:dyDescent="0.3">
      <c r="A1" s="1" t="s">
        <v>0</v>
      </c>
      <c r="B1" s="2"/>
      <c r="C1" s="2"/>
      <c r="D1" s="2"/>
      <c r="E1" s="2"/>
      <c r="F1" s="2"/>
      <c r="G1" s="2"/>
      <c r="H1" s="2"/>
      <c r="I1" s="2"/>
      <c r="J1" s="2"/>
      <c r="K1" s="2"/>
      <c r="L1" s="2"/>
      <c r="M1" s="2"/>
      <c r="N1" s="2"/>
      <c r="O1" s="2"/>
      <c r="P1" s="2"/>
      <c r="Q1" s="2"/>
      <c r="R1" s="2"/>
      <c r="S1" s="2"/>
      <c r="T1" s="2"/>
      <c r="U1" s="2"/>
      <c r="V1" s="2"/>
      <c r="W1" s="2"/>
      <c r="X1" s="2"/>
      <c r="Y1" s="2"/>
    </row>
    <row r="2" spans="1:25" ht="408.6" customHeight="1" x14ac:dyDescent="0.3">
      <c r="A2" s="13" t="s">
        <v>401</v>
      </c>
      <c r="B2" s="2"/>
      <c r="C2" s="3" t="s">
        <v>400</v>
      </c>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B859-9ADC-4E78-9ECC-4B4A2818DD65}">
  <sheetPr>
    <tabColor theme="6" tint="0.39997558519241921"/>
  </sheetPr>
  <dimension ref="T4:W9"/>
  <sheetViews>
    <sheetView showGridLines="0" showRowColHeaders="0" zoomScale="85" zoomScaleNormal="85" workbookViewId="0">
      <selection activeCell="H34" sqref="H34"/>
    </sheetView>
  </sheetViews>
  <sheetFormatPr defaultColWidth="8.88671875" defaultRowHeight="14.4" x14ac:dyDescent="0.3"/>
  <cols>
    <col min="1" max="16384" width="8.88671875" style="57"/>
  </cols>
  <sheetData>
    <row r="4" spans="20:23" x14ac:dyDescent="0.3">
      <c r="T4" s="58">
        <f>Date!N6</f>
        <v>229192.46999999997</v>
      </c>
      <c r="U4" s="58"/>
      <c r="V4" s="58"/>
      <c r="W4" s="58"/>
    </row>
    <row r="5" spans="20:23" x14ac:dyDescent="0.3">
      <c r="T5" s="58"/>
      <c r="U5" s="58"/>
      <c r="V5" s="58"/>
      <c r="W5" s="58"/>
    </row>
    <row r="6" spans="20:23" x14ac:dyDescent="0.3">
      <c r="T6" s="58"/>
      <c r="U6" s="58"/>
      <c r="V6" s="58"/>
      <c r="W6" s="58"/>
    </row>
    <row r="7" spans="20:23" x14ac:dyDescent="0.3">
      <c r="T7" s="58"/>
      <c r="U7" s="58"/>
      <c r="V7" s="58"/>
      <c r="W7" s="58"/>
    </row>
    <row r="8" spans="20:23" x14ac:dyDescent="0.3">
      <c r="T8" s="59" t="s">
        <v>480</v>
      </c>
      <c r="U8" s="60"/>
      <c r="V8" s="60"/>
      <c r="W8" s="60"/>
    </row>
    <row r="9" spans="20:23" x14ac:dyDescent="0.3">
      <c r="T9" s="60"/>
      <c r="U9" s="60"/>
      <c r="V9" s="60"/>
      <c r="W9" s="60"/>
    </row>
  </sheetData>
  <mergeCells count="2">
    <mergeCell ref="T4:W7"/>
    <mergeCell ref="T8:W9"/>
  </mergeCells>
  <conditionalFormatting sqref="T4:W7">
    <cfRule type="iconSet" priority="1">
      <iconSet iconSet="3Arrows">
        <cfvo type="percent" val="0"/>
        <cfvo type="num" val="15000"/>
        <cfvo type="num" val="20000"/>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AH1000"/>
  <sheetViews>
    <sheetView zoomScale="70" zoomScaleNormal="70" workbookViewId="0">
      <selection activeCell="U27" sqref="U27"/>
    </sheetView>
  </sheetViews>
  <sheetFormatPr defaultColWidth="14.44140625" defaultRowHeight="15" customHeight="1" x14ac:dyDescent="0.3"/>
  <cols>
    <col min="1" max="1" width="13.6640625" style="9" customWidth="1"/>
    <col min="2" max="2" width="10.88671875" style="9" customWidth="1"/>
    <col min="3" max="3" width="12.33203125" style="9" customWidth="1"/>
    <col min="4" max="4" width="15.88671875" style="9" customWidth="1"/>
    <col min="5" max="5" width="10.6640625" style="9" customWidth="1"/>
    <col min="6" max="6" width="13.88671875" style="9" customWidth="1"/>
    <col min="7" max="7" width="10.44140625" style="9" customWidth="1"/>
    <col min="8" max="8" width="8.5546875" style="9" customWidth="1"/>
    <col min="9" max="9" width="10" style="9" customWidth="1"/>
    <col min="10" max="10" width="16.44140625" style="9" customWidth="1"/>
    <col min="11" max="11" width="7.33203125" style="9" customWidth="1"/>
    <col min="12" max="12" width="17.88671875" style="9" customWidth="1"/>
    <col min="13" max="13" width="14.88671875" style="9" customWidth="1"/>
    <col min="14" max="14" width="13.109375" style="9" customWidth="1"/>
    <col min="15" max="15" width="13.44140625" style="9" bestFit="1" customWidth="1"/>
    <col min="16" max="16" width="18.5546875" style="9" bestFit="1" customWidth="1"/>
    <col min="17" max="17" width="11.88671875" style="9" bestFit="1" customWidth="1"/>
    <col min="18" max="18" width="14.6640625" style="9" bestFit="1" customWidth="1"/>
    <col min="19" max="19" width="24.88671875" style="9" bestFit="1" customWidth="1"/>
    <col min="20" max="20" width="8.6640625" style="9" customWidth="1"/>
    <col min="21" max="21" width="22.5546875" style="9" bestFit="1" customWidth="1"/>
    <col min="22" max="22" width="19.44140625" style="9" customWidth="1"/>
    <col min="23" max="23" width="17.44140625" style="9" customWidth="1"/>
    <col min="24" max="24" width="14.33203125" style="9" bestFit="1" customWidth="1"/>
    <col min="25" max="25" width="16.109375" style="9" bestFit="1" customWidth="1"/>
    <col min="26" max="26" width="8.6640625" style="9" customWidth="1"/>
    <col min="27" max="27" width="16.5546875" style="9" bestFit="1" customWidth="1"/>
    <col min="28" max="16384" width="14.44140625" style="9"/>
  </cols>
  <sheetData>
    <row r="1" spans="1:34" ht="14.4" x14ac:dyDescent="0.3">
      <c r="A1" s="14" t="s">
        <v>1</v>
      </c>
      <c r="B1" s="14" t="s">
        <v>2</v>
      </c>
      <c r="C1" s="14" t="s">
        <v>3</v>
      </c>
      <c r="D1" s="15" t="s">
        <v>4</v>
      </c>
      <c r="E1" s="14" t="s">
        <v>5</v>
      </c>
      <c r="F1" s="14" t="s">
        <v>6</v>
      </c>
      <c r="G1" s="14" t="s">
        <v>7</v>
      </c>
      <c r="H1" s="14" t="s">
        <v>8</v>
      </c>
      <c r="I1" s="14" t="s">
        <v>9</v>
      </c>
      <c r="J1" s="14" t="s">
        <v>10</v>
      </c>
      <c r="K1" s="14" t="s">
        <v>11</v>
      </c>
      <c r="L1" s="14" t="s">
        <v>12</v>
      </c>
      <c r="M1" s="14" t="s">
        <v>13</v>
      </c>
      <c r="N1" s="15" t="s">
        <v>14</v>
      </c>
      <c r="O1" s="44" t="s">
        <v>419</v>
      </c>
      <c r="P1" s="44" t="s">
        <v>420</v>
      </c>
      <c r="Q1" s="44" t="s">
        <v>483</v>
      </c>
      <c r="R1" s="44" t="s">
        <v>421</v>
      </c>
      <c r="S1" s="44" t="s">
        <v>422</v>
      </c>
      <c r="T1" s="8"/>
      <c r="U1" s="8"/>
      <c r="V1" s="8"/>
      <c r="W1" s="8"/>
      <c r="X1" s="8"/>
      <c r="Y1" s="8"/>
      <c r="Z1" s="8"/>
    </row>
    <row r="2" spans="1:34" ht="14.4" x14ac:dyDescent="0.3">
      <c r="A2" s="16" t="s">
        <v>15</v>
      </c>
      <c r="B2" s="17">
        <v>45393</v>
      </c>
      <c r="C2" s="16" t="s">
        <v>16</v>
      </c>
      <c r="D2" s="16" t="s">
        <v>17</v>
      </c>
      <c r="E2" s="16" t="s">
        <v>18</v>
      </c>
      <c r="F2" s="16" t="s">
        <v>19</v>
      </c>
      <c r="G2" s="16" t="s">
        <v>20</v>
      </c>
      <c r="H2" s="16">
        <v>3</v>
      </c>
      <c r="I2" s="16">
        <v>249.99</v>
      </c>
      <c r="J2" s="16" t="s">
        <v>21</v>
      </c>
      <c r="K2" s="16" t="s">
        <v>22</v>
      </c>
      <c r="L2" s="16" t="s">
        <v>23</v>
      </c>
      <c r="M2" s="17">
        <v>44425</v>
      </c>
      <c r="N2" s="16">
        <v>749.97</v>
      </c>
      <c r="O2" s="45" cm="1">
        <f t="array" ref="O2:O251">DATEDIF(M2:M251,B2:B251,"Y")</f>
        <v>2</v>
      </c>
      <c r="P2" s="46">
        <f ca="1">NOW()</f>
        <v>46008.502499305556</v>
      </c>
      <c r="Q2" s="45" t="str">
        <f>IFERROR(CONCATENATE(LEFT(D2, 1), MID(D2, FIND(" ", D2) + 1, 1)), LEFT(D2, 2))</f>
        <v>PB</v>
      </c>
      <c r="R2" s="45" t="str" cm="1">
        <f t="array" ref="R2:R51">_xlfn.UNIQUE(C2:C251)</f>
        <v>CUST023</v>
      </c>
      <c r="S2" s="45" cm="1">
        <f t="array" ref="S2:S51">SUMIF(C2:C251,R2:R51, N2:N251)</f>
        <v>8309.739999999998</v>
      </c>
      <c r="U2" s="47" t="s">
        <v>447</v>
      </c>
    </row>
    <row r="3" spans="1:34" ht="14.4" x14ac:dyDescent="0.3">
      <c r="A3" s="16" t="s">
        <v>24</v>
      </c>
      <c r="B3" s="17">
        <v>45396</v>
      </c>
      <c r="C3" s="16" t="s">
        <v>25</v>
      </c>
      <c r="D3" s="16" t="s">
        <v>26</v>
      </c>
      <c r="E3" s="16" t="s">
        <v>18</v>
      </c>
      <c r="F3" s="16" t="s">
        <v>19</v>
      </c>
      <c r="G3" s="16" t="s">
        <v>20</v>
      </c>
      <c r="H3" s="16">
        <v>3</v>
      </c>
      <c r="I3" s="16">
        <v>249.99</v>
      </c>
      <c r="J3" s="16" t="s">
        <v>27</v>
      </c>
      <c r="K3" s="16" t="s">
        <v>22</v>
      </c>
      <c r="L3" s="16" t="s">
        <v>28</v>
      </c>
      <c r="M3" s="17">
        <v>44575</v>
      </c>
      <c r="N3" s="16">
        <v>749.97</v>
      </c>
      <c r="O3" s="45">
        <v>2</v>
      </c>
      <c r="P3" s="46">
        <f t="shared" ref="P3:P66" ca="1" si="0">NOW()</f>
        <v>46008.502499305556</v>
      </c>
      <c r="Q3" s="45" t="str">
        <f t="shared" ref="Q3:Q66" si="1">IFERROR(CONCATENATE(LEFT(D3, 1), MID(D3, FIND(" ", D3) + 1, 1)), LEFT(D3, 2))</f>
        <v>JJ</v>
      </c>
      <c r="R3" s="45" t="str">
        <v>CUST013</v>
      </c>
      <c r="S3" s="45">
        <v>6949.84</v>
      </c>
      <c r="U3" s="48" t="str" cm="1">
        <f t="array" ref="U3:AH8">_xlfn._xlws.FILTER(A2:N251, (F2:F251="Laptop") * (L2:L251="Premium"), "No Premium Laptop Sales Found")</f>
        <v>TRX0041</v>
      </c>
      <c r="V3" s="49">
        <v>45432</v>
      </c>
      <c r="W3" s="48" t="str">
        <v>CUST021</v>
      </c>
      <c r="X3" s="48" t="str">
        <v>Kevin Scott</v>
      </c>
      <c r="Y3" s="48" t="str">
        <v>P001</v>
      </c>
      <c r="Z3" s="48" t="str">
        <v>Laptop</v>
      </c>
      <c r="AA3" s="48" t="str">
        <v>Electronics</v>
      </c>
      <c r="AB3" s="48">
        <v>1</v>
      </c>
      <c r="AC3" s="48">
        <v>899.99</v>
      </c>
      <c r="AD3" s="48" t="str">
        <v>Credit Card</v>
      </c>
      <c r="AE3" s="48" t="str">
        <v>West</v>
      </c>
      <c r="AF3" s="48" t="str">
        <v>Premium</v>
      </c>
      <c r="AG3" s="49">
        <v>44578</v>
      </c>
      <c r="AH3" s="48">
        <v>899.99</v>
      </c>
    </row>
    <row r="4" spans="1:34" ht="14.4" x14ac:dyDescent="0.3">
      <c r="A4" s="16" t="s">
        <v>29</v>
      </c>
      <c r="B4" s="17">
        <v>45399</v>
      </c>
      <c r="C4" s="16" t="s">
        <v>30</v>
      </c>
      <c r="D4" s="16" t="s">
        <v>31</v>
      </c>
      <c r="E4" s="16" t="s">
        <v>32</v>
      </c>
      <c r="F4" s="16" t="s">
        <v>33</v>
      </c>
      <c r="G4" s="16" t="s">
        <v>34</v>
      </c>
      <c r="H4" s="16">
        <v>3</v>
      </c>
      <c r="I4" s="16">
        <v>59.99</v>
      </c>
      <c r="J4" s="16" t="s">
        <v>35</v>
      </c>
      <c r="K4" s="16" t="s">
        <v>36</v>
      </c>
      <c r="L4" s="16" t="s">
        <v>37</v>
      </c>
      <c r="M4" s="17">
        <v>45262</v>
      </c>
      <c r="N4" s="16">
        <v>179.97</v>
      </c>
      <c r="O4" s="45">
        <v>0</v>
      </c>
      <c r="P4" s="46">
        <f t="shared" ca="1" si="0"/>
        <v>46008.502499305556</v>
      </c>
      <c r="Q4" s="45" t="str">
        <f t="shared" si="1"/>
        <v>KS</v>
      </c>
      <c r="R4" s="45" t="str">
        <v>CUST021</v>
      </c>
      <c r="S4" s="45">
        <v>3259.87</v>
      </c>
      <c r="U4" s="48" t="str">
        <v>TRX0044</v>
      </c>
      <c r="V4" s="49">
        <v>45459</v>
      </c>
      <c r="W4" s="48" t="str">
        <v>CUST029</v>
      </c>
      <c r="X4" s="48" t="str">
        <v>Edward Mitchell</v>
      </c>
      <c r="Y4" s="48" t="str">
        <v>P001</v>
      </c>
      <c r="Z4" s="48" t="str">
        <v>Laptop</v>
      </c>
      <c r="AA4" s="48" t="str">
        <v>Electronics</v>
      </c>
      <c r="AB4" s="48">
        <v>5</v>
      </c>
      <c r="AC4" s="48">
        <v>899.99</v>
      </c>
      <c r="AD4" s="48" t="str">
        <v>PayPal</v>
      </c>
      <c r="AE4" s="48" t="str">
        <v>East</v>
      </c>
      <c r="AF4" s="48" t="str">
        <v>Premium</v>
      </c>
      <c r="AG4" s="49">
        <v>45278</v>
      </c>
      <c r="AH4" s="48">
        <v>4499.95</v>
      </c>
    </row>
    <row r="5" spans="1:34" ht="14.4" x14ac:dyDescent="0.3">
      <c r="A5" s="16" t="s">
        <v>38</v>
      </c>
      <c r="B5" s="17">
        <v>45400</v>
      </c>
      <c r="C5" s="16" t="s">
        <v>39</v>
      </c>
      <c r="D5" s="16" t="s">
        <v>40</v>
      </c>
      <c r="E5" s="16" t="s">
        <v>32</v>
      </c>
      <c r="F5" s="16" t="s">
        <v>33</v>
      </c>
      <c r="G5" s="16" t="s">
        <v>34</v>
      </c>
      <c r="H5" s="16">
        <v>3</v>
      </c>
      <c r="I5" s="16">
        <v>59.99</v>
      </c>
      <c r="J5" s="16" t="s">
        <v>21</v>
      </c>
      <c r="K5" s="16" t="s">
        <v>41</v>
      </c>
      <c r="L5" s="16" t="s">
        <v>28</v>
      </c>
      <c r="M5" s="17">
        <v>45114</v>
      </c>
      <c r="N5" s="16">
        <v>179.97</v>
      </c>
      <c r="O5" s="45">
        <v>0</v>
      </c>
      <c r="P5" s="46">
        <f t="shared" ca="1" si="0"/>
        <v>46008.502499305556</v>
      </c>
      <c r="Q5" s="45" t="str">
        <f t="shared" si="1"/>
        <v>KB</v>
      </c>
      <c r="R5" s="45" t="str">
        <v>CUST046</v>
      </c>
      <c r="S5" s="45">
        <v>4309.8099999999995</v>
      </c>
      <c r="U5" s="48" t="str">
        <v>TRX0104</v>
      </c>
      <c r="V5" s="49">
        <v>45471</v>
      </c>
      <c r="W5" s="48" t="str">
        <v>CUST012</v>
      </c>
      <c r="X5" s="48" t="str">
        <v>Patricia Moore</v>
      </c>
      <c r="Y5" s="48" t="str">
        <v>P001</v>
      </c>
      <c r="Z5" s="48" t="str">
        <v>Laptop</v>
      </c>
      <c r="AA5" s="48" t="str">
        <v>Electronics</v>
      </c>
      <c r="AB5" s="48">
        <v>4</v>
      </c>
      <c r="AC5" s="48">
        <v>899.99</v>
      </c>
      <c r="AD5" s="48" t="str">
        <v>Credit Card</v>
      </c>
      <c r="AE5" s="48" t="str">
        <v>East</v>
      </c>
      <c r="AF5" s="48" t="str">
        <v>Premium</v>
      </c>
      <c r="AG5" s="49">
        <v>44993</v>
      </c>
      <c r="AH5" s="48">
        <v>3599.96</v>
      </c>
    </row>
    <row r="6" spans="1:34" ht="14.4" x14ac:dyDescent="0.3">
      <c r="A6" s="16" t="s">
        <v>42</v>
      </c>
      <c r="B6" s="17">
        <v>45400</v>
      </c>
      <c r="C6" s="16" t="s">
        <v>43</v>
      </c>
      <c r="D6" s="16" t="s">
        <v>44</v>
      </c>
      <c r="E6" s="16" t="s">
        <v>45</v>
      </c>
      <c r="F6" s="16" t="s">
        <v>46</v>
      </c>
      <c r="G6" s="16" t="s">
        <v>47</v>
      </c>
      <c r="H6" s="16">
        <v>5</v>
      </c>
      <c r="I6" s="16">
        <v>149.99</v>
      </c>
      <c r="J6" s="16" t="s">
        <v>27</v>
      </c>
      <c r="K6" s="16" t="s">
        <v>41</v>
      </c>
      <c r="L6" s="16" t="s">
        <v>28</v>
      </c>
      <c r="M6" s="17">
        <v>45295</v>
      </c>
      <c r="N6" s="16">
        <v>749.95</v>
      </c>
      <c r="O6" s="45">
        <v>0</v>
      </c>
      <c r="P6" s="46">
        <f t="shared" ca="1" si="0"/>
        <v>46008.502499305556</v>
      </c>
      <c r="Q6" s="45" t="str">
        <f t="shared" si="1"/>
        <v>MB</v>
      </c>
      <c r="R6" s="45" t="str">
        <v>CUST003</v>
      </c>
      <c r="S6" s="45">
        <v>6169.7400000000007</v>
      </c>
      <c r="U6" s="48" t="str">
        <v>TRX0207</v>
      </c>
      <c r="V6" s="49">
        <v>45657</v>
      </c>
      <c r="W6" s="48" t="str">
        <v>CUST025</v>
      </c>
      <c r="X6" s="48" t="str">
        <v>Mark Carter</v>
      </c>
      <c r="Y6" s="48" t="str">
        <v>P001</v>
      </c>
      <c r="Z6" s="48" t="str">
        <v>Laptop</v>
      </c>
      <c r="AA6" s="48" t="str">
        <v>Electronics</v>
      </c>
      <c r="AB6" s="48">
        <v>1</v>
      </c>
      <c r="AC6" s="48">
        <v>899.99</v>
      </c>
      <c r="AD6" s="48" t="str">
        <v>PayPal</v>
      </c>
      <c r="AE6" s="48" t="str">
        <v>North</v>
      </c>
      <c r="AF6" s="48" t="str">
        <v>Premium</v>
      </c>
      <c r="AG6" s="49">
        <v>45050</v>
      </c>
      <c r="AH6" s="48">
        <v>899.99</v>
      </c>
    </row>
    <row r="7" spans="1:34" ht="14.4" x14ac:dyDescent="0.3">
      <c r="A7" s="16" t="s">
        <v>48</v>
      </c>
      <c r="B7" s="17">
        <v>45403</v>
      </c>
      <c r="C7" s="16" t="s">
        <v>49</v>
      </c>
      <c r="D7" s="16" t="s">
        <v>50</v>
      </c>
      <c r="E7" s="16" t="s">
        <v>32</v>
      </c>
      <c r="F7" s="16" t="s">
        <v>33</v>
      </c>
      <c r="G7" s="16" t="s">
        <v>34</v>
      </c>
      <c r="H7" s="16">
        <v>2</v>
      </c>
      <c r="I7" s="16">
        <v>59.99</v>
      </c>
      <c r="J7" s="16" t="s">
        <v>21</v>
      </c>
      <c r="K7" s="16" t="s">
        <v>51</v>
      </c>
      <c r="L7" s="16" t="s">
        <v>37</v>
      </c>
      <c r="M7" s="17">
        <v>44746</v>
      </c>
      <c r="N7" s="16">
        <v>119.98</v>
      </c>
      <c r="O7" s="45">
        <v>1</v>
      </c>
      <c r="P7" s="46">
        <f t="shared" ca="1" si="0"/>
        <v>46008.502499305556</v>
      </c>
      <c r="Q7" s="45" t="str">
        <f t="shared" si="1"/>
        <v>DN</v>
      </c>
      <c r="R7" s="45" t="str">
        <v>CUST024</v>
      </c>
      <c r="S7" s="45">
        <v>8269.7900000000009</v>
      </c>
      <c r="U7" s="48" t="str">
        <v>TRX0016</v>
      </c>
      <c r="V7" s="49">
        <v>45724</v>
      </c>
      <c r="W7" s="48" t="str">
        <v>CUST035</v>
      </c>
      <c r="X7" s="48" t="str">
        <v>Harry Morgan</v>
      </c>
      <c r="Y7" s="48" t="str">
        <v>P001</v>
      </c>
      <c r="Z7" s="48" t="str">
        <v>Laptop</v>
      </c>
      <c r="AA7" s="48" t="str">
        <v>Electronics</v>
      </c>
      <c r="AB7" s="48">
        <v>5</v>
      </c>
      <c r="AC7" s="48">
        <v>899.99</v>
      </c>
      <c r="AD7" s="48" t="str">
        <v>PayPal</v>
      </c>
      <c r="AE7" s="48" t="str">
        <v>East</v>
      </c>
      <c r="AF7" s="48" t="str">
        <v>Premium</v>
      </c>
      <c r="AG7" s="49">
        <v>45389</v>
      </c>
      <c r="AH7" s="48">
        <v>4499.95</v>
      </c>
    </row>
    <row r="8" spans="1:34" ht="14.4" x14ac:dyDescent="0.3">
      <c r="A8" s="16" t="s">
        <v>52</v>
      </c>
      <c r="B8" s="17">
        <v>45403</v>
      </c>
      <c r="C8" s="16" t="s">
        <v>49</v>
      </c>
      <c r="D8" s="16" t="s">
        <v>50</v>
      </c>
      <c r="E8" s="16" t="s">
        <v>53</v>
      </c>
      <c r="F8" s="16" t="s">
        <v>54</v>
      </c>
      <c r="G8" s="16" t="s">
        <v>20</v>
      </c>
      <c r="H8" s="16">
        <v>5</v>
      </c>
      <c r="I8" s="16">
        <v>149.99</v>
      </c>
      <c r="J8" s="16" t="s">
        <v>27</v>
      </c>
      <c r="K8" s="16" t="s">
        <v>22</v>
      </c>
      <c r="L8" s="16" t="s">
        <v>37</v>
      </c>
      <c r="M8" s="17">
        <v>44418</v>
      </c>
      <c r="N8" s="16">
        <v>749.95</v>
      </c>
      <c r="O8" s="45">
        <v>2</v>
      </c>
      <c r="P8" s="46">
        <f t="shared" ca="1" si="0"/>
        <v>46008.502499305556</v>
      </c>
      <c r="Q8" s="45" t="str">
        <f t="shared" si="1"/>
        <v>DN</v>
      </c>
      <c r="R8" s="45" t="str">
        <v>CUST017</v>
      </c>
      <c r="S8" s="45">
        <v>5089.7300000000005</v>
      </c>
      <c r="U8" s="48" t="str">
        <v>TRX0124</v>
      </c>
      <c r="V8" s="49">
        <v>45737</v>
      </c>
      <c r="W8" s="48" t="str">
        <v>CUST040</v>
      </c>
      <c r="X8" s="48" t="str">
        <v>Sharon Butler</v>
      </c>
      <c r="Y8" s="48" t="str">
        <v>P001</v>
      </c>
      <c r="Z8" s="48" t="str">
        <v>Laptop</v>
      </c>
      <c r="AA8" s="48" t="str">
        <v>Electronics</v>
      </c>
      <c r="AB8" s="48">
        <v>3</v>
      </c>
      <c r="AC8" s="48">
        <v>899.99</v>
      </c>
      <c r="AD8" s="48" t="str">
        <v>Debit Card</v>
      </c>
      <c r="AE8" s="48" t="str">
        <v>North</v>
      </c>
      <c r="AF8" s="48" t="str">
        <v>Premium</v>
      </c>
      <c r="AG8" s="49">
        <v>44876</v>
      </c>
      <c r="AH8" s="48">
        <v>2699.97</v>
      </c>
    </row>
    <row r="9" spans="1:34" ht="14.4" x14ac:dyDescent="0.3">
      <c r="A9" s="16" t="s">
        <v>55</v>
      </c>
      <c r="B9" s="17">
        <v>45403</v>
      </c>
      <c r="C9" s="16" t="s">
        <v>56</v>
      </c>
      <c r="D9" s="16" t="s">
        <v>57</v>
      </c>
      <c r="E9" s="16" t="s">
        <v>32</v>
      </c>
      <c r="F9" s="16" t="s">
        <v>33</v>
      </c>
      <c r="G9" s="16" t="s">
        <v>34</v>
      </c>
      <c r="H9" s="16">
        <v>3</v>
      </c>
      <c r="I9" s="16">
        <v>59.99</v>
      </c>
      <c r="J9" s="16" t="s">
        <v>58</v>
      </c>
      <c r="K9" s="16" t="s">
        <v>36</v>
      </c>
      <c r="L9" s="16" t="s">
        <v>23</v>
      </c>
      <c r="M9" s="17">
        <v>45007</v>
      </c>
      <c r="N9" s="16">
        <v>179.97</v>
      </c>
      <c r="O9" s="45">
        <v>1</v>
      </c>
      <c r="P9" s="46">
        <f t="shared" ca="1" si="0"/>
        <v>46008.502499305556</v>
      </c>
      <c r="Q9" s="45" t="str">
        <f t="shared" si="1"/>
        <v>CA</v>
      </c>
      <c r="R9" s="45" t="str">
        <v>CUST009</v>
      </c>
      <c r="S9" s="45">
        <v>3509.8999999999996</v>
      </c>
    </row>
    <row r="10" spans="1:34" ht="14.4" x14ac:dyDescent="0.3">
      <c r="A10" s="16" t="s">
        <v>59</v>
      </c>
      <c r="B10" s="17">
        <v>45405</v>
      </c>
      <c r="C10" s="16" t="s">
        <v>60</v>
      </c>
      <c r="D10" s="16" t="s">
        <v>61</v>
      </c>
      <c r="E10" s="16" t="s">
        <v>62</v>
      </c>
      <c r="F10" s="16" t="s">
        <v>63</v>
      </c>
      <c r="G10" s="16" t="s">
        <v>20</v>
      </c>
      <c r="H10" s="16">
        <v>3</v>
      </c>
      <c r="I10" s="16">
        <v>899.99</v>
      </c>
      <c r="J10" s="16" t="s">
        <v>35</v>
      </c>
      <c r="K10" s="16" t="s">
        <v>64</v>
      </c>
      <c r="L10" s="16" t="s">
        <v>37</v>
      </c>
      <c r="M10" s="17">
        <v>45299</v>
      </c>
      <c r="N10" s="16">
        <v>2699.97</v>
      </c>
      <c r="O10" s="45">
        <v>0</v>
      </c>
      <c r="P10" s="46">
        <f t="shared" ca="1" si="0"/>
        <v>46008.502499305556</v>
      </c>
      <c r="Q10" s="45" t="str">
        <f t="shared" si="1"/>
        <v>RT</v>
      </c>
      <c r="R10" s="45" t="str">
        <v>CUST026</v>
      </c>
      <c r="S10" s="45">
        <v>8009.7699999999995</v>
      </c>
      <c r="U10" s="52" t="s">
        <v>448</v>
      </c>
      <c r="V10" s="53"/>
      <c r="W10" s="54"/>
    </row>
    <row r="11" spans="1:34" ht="14.4" x14ac:dyDescent="0.3">
      <c r="A11" s="16" t="s">
        <v>65</v>
      </c>
      <c r="B11" s="17">
        <v>45408</v>
      </c>
      <c r="C11" s="16" t="s">
        <v>66</v>
      </c>
      <c r="D11" s="16" t="s">
        <v>67</v>
      </c>
      <c r="E11" s="16" t="s">
        <v>32</v>
      </c>
      <c r="F11" s="16" t="s">
        <v>33</v>
      </c>
      <c r="G11" s="16" t="s">
        <v>34</v>
      </c>
      <c r="H11" s="16">
        <v>3</v>
      </c>
      <c r="I11" s="16">
        <v>59.99</v>
      </c>
      <c r="J11" s="16" t="s">
        <v>21</v>
      </c>
      <c r="K11" s="16" t="s">
        <v>51</v>
      </c>
      <c r="L11" s="16" t="s">
        <v>28</v>
      </c>
      <c r="M11" s="17">
        <v>45207</v>
      </c>
      <c r="N11" s="16">
        <v>179.97</v>
      </c>
      <c r="O11" s="45">
        <v>0</v>
      </c>
      <c r="P11" s="46">
        <f t="shared" ca="1" si="0"/>
        <v>46008.502499305556</v>
      </c>
      <c r="Q11" s="45" t="str">
        <f t="shared" si="1"/>
        <v>KH</v>
      </c>
      <c r="R11" s="45" t="str">
        <v>CUST022</v>
      </c>
      <c r="S11" s="45">
        <v>1979.89</v>
      </c>
      <c r="T11"/>
      <c r="U11" s="10" t="s">
        <v>449</v>
      </c>
      <c r="V11" s="10" t="s">
        <v>14</v>
      </c>
      <c r="W11" s="10" t="s">
        <v>450</v>
      </c>
    </row>
    <row r="12" spans="1:34" ht="14.4" x14ac:dyDescent="0.3">
      <c r="A12" s="16" t="s">
        <v>68</v>
      </c>
      <c r="B12" s="17">
        <v>45408</v>
      </c>
      <c r="C12" s="16" t="s">
        <v>69</v>
      </c>
      <c r="D12" s="16" t="s">
        <v>70</v>
      </c>
      <c r="E12" s="16" t="s">
        <v>45</v>
      </c>
      <c r="F12" s="16" t="s">
        <v>46</v>
      </c>
      <c r="G12" s="16" t="s">
        <v>47</v>
      </c>
      <c r="H12" s="16">
        <v>1</v>
      </c>
      <c r="I12" s="16">
        <v>149.99</v>
      </c>
      <c r="J12" s="16" t="s">
        <v>27</v>
      </c>
      <c r="K12" s="16" t="s">
        <v>51</v>
      </c>
      <c r="L12" s="16" t="s">
        <v>37</v>
      </c>
      <c r="M12" s="17">
        <v>45103</v>
      </c>
      <c r="N12" s="16">
        <v>149.99</v>
      </c>
      <c r="O12" s="45">
        <v>0</v>
      </c>
      <c r="P12" s="46">
        <f t="shared" ca="1" si="0"/>
        <v>46008.502499305556</v>
      </c>
      <c r="Q12" s="45" t="str">
        <f t="shared" si="1"/>
        <v>SG</v>
      </c>
      <c r="R12" s="45" t="str">
        <v>CUST041</v>
      </c>
      <c r="S12" s="45">
        <v>5949.85</v>
      </c>
      <c r="U12" s="21" t="s">
        <v>451</v>
      </c>
      <c r="V12" s="20">
        <f>SUM(N2:N23)</f>
        <v>23719.29</v>
      </c>
      <c r="W12" s="21" t="s">
        <v>464</v>
      </c>
    </row>
    <row r="13" spans="1:34" ht="14.4" x14ac:dyDescent="0.3">
      <c r="A13" s="16" t="s">
        <v>71</v>
      </c>
      <c r="B13" s="17">
        <v>45408</v>
      </c>
      <c r="C13" s="16" t="s">
        <v>39</v>
      </c>
      <c r="D13" s="16" t="s">
        <v>40</v>
      </c>
      <c r="E13" s="16" t="s">
        <v>45</v>
      </c>
      <c r="F13" s="16" t="s">
        <v>46</v>
      </c>
      <c r="G13" s="16" t="s">
        <v>47</v>
      </c>
      <c r="H13" s="16">
        <v>5</v>
      </c>
      <c r="I13" s="16">
        <v>149.99</v>
      </c>
      <c r="J13" s="16" t="s">
        <v>58</v>
      </c>
      <c r="K13" s="16" t="s">
        <v>41</v>
      </c>
      <c r="L13" s="16" t="s">
        <v>23</v>
      </c>
      <c r="M13" s="17">
        <v>44830</v>
      </c>
      <c r="N13" s="16">
        <v>749.95</v>
      </c>
      <c r="O13" s="45">
        <v>1</v>
      </c>
      <c r="P13" s="46">
        <f t="shared" ca="1" si="0"/>
        <v>46008.502499305556</v>
      </c>
      <c r="Q13" s="45" t="str">
        <f t="shared" si="1"/>
        <v>KB</v>
      </c>
      <c r="R13" s="45" t="str">
        <v>CUST043</v>
      </c>
      <c r="S13" s="45">
        <v>479.91999999999996</v>
      </c>
      <c r="U13" s="21" t="s">
        <v>452</v>
      </c>
      <c r="V13" s="20">
        <f>SUM(N24:N41)</f>
        <v>14239.389999999996</v>
      </c>
      <c r="W13" s="22">
        <f>(V13-V12)/V12</f>
        <v>-0.39967047917538867</v>
      </c>
      <c r="Z13"/>
    </row>
    <row r="14" spans="1:34" ht="14.4" x14ac:dyDescent="0.3">
      <c r="A14" s="16" t="s">
        <v>72</v>
      </c>
      <c r="B14" s="17">
        <v>45408</v>
      </c>
      <c r="C14" s="16" t="s">
        <v>73</v>
      </c>
      <c r="D14" s="16" t="s">
        <v>74</v>
      </c>
      <c r="E14" s="16" t="s">
        <v>45</v>
      </c>
      <c r="F14" s="16" t="s">
        <v>46</v>
      </c>
      <c r="G14" s="16" t="s">
        <v>47</v>
      </c>
      <c r="H14" s="16">
        <v>3</v>
      </c>
      <c r="I14" s="16">
        <v>149.99</v>
      </c>
      <c r="J14" s="16" t="s">
        <v>21</v>
      </c>
      <c r="K14" s="16" t="s">
        <v>41</v>
      </c>
      <c r="L14" s="16" t="s">
        <v>28</v>
      </c>
      <c r="M14" s="17">
        <v>44806</v>
      </c>
      <c r="N14" s="16">
        <v>449.97</v>
      </c>
      <c r="O14" s="45">
        <v>1</v>
      </c>
      <c r="P14" s="46">
        <f t="shared" ca="1" si="0"/>
        <v>46008.502499305556</v>
      </c>
      <c r="Q14" s="45" t="str">
        <f t="shared" si="1"/>
        <v>PR</v>
      </c>
      <c r="R14" s="45" t="str">
        <v>CUST038</v>
      </c>
      <c r="S14" s="45">
        <v>4199.9399999999996</v>
      </c>
      <c r="U14" s="21" t="s">
        <v>453</v>
      </c>
      <c r="V14" s="20">
        <f>SUM(N12:N60)</f>
        <v>50718.460000000006</v>
      </c>
      <c r="W14" s="22">
        <f t="shared" ref="W14:W24" si="2">(V14-V13)/V13</f>
        <v>2.5618421856554261</v>
      </c>
      <c r="X14"/>
      <c r="Y14"/>
      <c r="Z14" s="11"/>
    </row>
    <row r="15" spans="1:34" ht="14.4" x14ac:dyDescent="0.3">
      <c r="A15" s="16" t="s">
        <v>75</v>
      </c>
      <c r="B15" s="17">
        <v>45409</v>
      </c>
      <c r="C15" s="16" t="s">
        <v>76</v>
      </c>
      <c r="D15" s="16" t="s">
        <v>77</v>
      </c>
      <c r="E15" s="16" t="s">
        <v>32</v>
      </c>
      <c r="F15" s="16" t="s">
        <v>33</v>
      </c>
      <c r="G15" s="16" t="s">
        <v>34</v>
      </c>
      <c r="H15" s="16">
        <v>3</v>
      </c>
      <c r="I15" s="16">
        <v>59.99</v>
      </c>
      <c r="J15" s="16" t="s">
        <v>27</v>
      </c>
      <c r="K15" s="16" t="s">
        <v>41</v>
      </c>
      <c r="L15" s="16" t="s">
        <v>37</v>
      </c>
      <c r="M15" s="17">
        <v>45351</v>
      </c>
      <c r="N15" s="16">
        <v>179.97</v>
      </c>
      <c r="O15" s="45">
        <v>0</v>
      </c>
      <c r="P15" s="46">
        <f t="shared" ca="1" si="0"/>
        <v>46008.502499305556</v>
      </c>
      <c r="Q15" s="45" t="str">
        <f t="shared" si="1"/>
        <v>DG</v>
      </c>
      <c r="R15" s="45" t="str">
        <v>CUST027</v>
      </c>
      <c r="S15" s="45">
        <v>3779.93</v>
      </c>
      <c r="U15" s="21" t="s">
        <v>454</v>
      </c>
      <c r="V15" s="20">
        <f>SUM(N61:N84)</f>
        <v>18479.399999999994</v>
      </c>
      <c r="W15" s="22">
        <f t="shared" si="2"/>
        <v>-0.6356474545954276</v>
      </c>
      <c r="Y15"/>
      <c r="Z15"/>
    </row>
    <row r="16" spans="1:34" ht="14.4" x14ac:dyDescent="0.3">
      <c r="A16" s="16" t="s">
        <v>78</v>
      </c>
      <c r="B16" s="17">
        <v>45409</v>
      </c>
      <c r="C16" s="16" t="s">
        <v>79</v>
      </c>
      <c r="D16" s="16" t="s">
        <v>80</v>
      </c>
      <c r="E16" s="16" t="s">
        <v>81</v>
      </c>
      <c r="F16" s="16" t="s">
        <v>82</v>
      </c>
      <c r="G16" s="16" t="s">
        <v>20</v>
      </c>
      <c r="H16" s="16">
        <v>3</v>
      </c>
      <c r="I16" s="16">
        <v>699.99</v>
      </c>
      <c r="J16" s="16" t="s">
        <v>27</v>
      </c>
      <c r="K16" s="16" t="s">
        <v>51</v>
      </c>
      <c r="L16" s="16" t="s">
        <v>23</v>
      </c>
      <c r="M16" s="17">
        <v>44577</v>
      </c>
      <c r="N16" s="16">
        <v>2099.9699999999998</v>
      </c>
      <c r="O16" s="45">
        <v>2</v>
      </c>
      <c r="P16" s="46">
        <f t="shared" ca="1" si="0"/>
        <v>46008.502499305556</v>
      </c>
      <c r="Q16" s="45" t="str">
        <f t="shared" si="1"/>
        <v>MR</v>
      </c>
      <c r="R16" s="45" t="str">
        <v>CUST025</v>
      </c>
      <c r="S16" s="45">
        <v>15659.65</v>
      </c>
      <c r="U16" s="21" t="s">
        <v>455</v>
      </c>
      <c r="V16" s="20">
        <f>SUM(N85:N120)</f>
        <v>28548.95</v>
      </c>
      <c r="W16" s="22">
        <f t="shared" si="2"/>
        <v>0.54490676104202573</v>
      </c>
      <c r="Y16"/>
      <c r="Z16"/>
    </row>
    <row r="17" spans="1:26" ht="14.4" x14ac:dyDescent="0.3">
      <c r="A17" s="16" t="s">
        <v>83</v>
      </c>
      <c r="B17" s="17">
        <v>45409</v>
      </c>
      <c r="C17" s="16" t="s">
        <v>84</v>
      </c>
      <c r="D17" s="16" t="s">
        <v>85</v>
      </c>
      <c r="E17" s="16" t="s">
        <v>62</v>
      </c>
      <c r="F17" s="16" t="s">
        <v>63</v>
      </c>
      <c r="G17" s="16" t="s">
        <v>20</v>
      </c>
      <c r="H17" s="16">
        <v>1</v>
      </c>
      <c r="I17" s="16">
        <v>899.99</v>
      </c>
      <c r="J17" s="16" t="s">
        <v>58</v>
      </c>
      <c r="K17" s="16" t="s">
        <v>41</v>
      </c>
      <c r="L17" s="16" t="s">
        <v>37</v>
      </c>
      <c r="M17" s="17">
        <v>44920</v>
      </c>
      <c r="N17" s="16">
        <v>899.99</v>
      </c>
      <c r="O17" s="45">
        <v>1</v>
      </c>
      <c r="P17" s="46">
        <f t="shared" ca="1" si="0"/>
        <v>46008.502499305556</v>
      </c>
      <c r="Q17" s="45" t="str">
        <f t="shared" si="1"/>
        <v>GA</v>
      </c>
      <c r="R17" s="45" t="str">
        <v>CUST010</v>
      </c>
      <c r="S17" s="45">
        <v>1909.93</v>
      </c>
      <c r="U17" s="21" t="s">
        <v>456</v>
      </c>
      <c r="V17" s="20">
        <f>SUM(N103:N121)</f>
        <v>12989.509999999997</v>
      </c>
      <c r="W17" s="22">
        <f t="shared" si="2"/>
        <v>-0.5450091859770676</v>
      </c>
      <c r="Y17"/>
      <c r="Z17"/>
    </row>
    <row r="18" spans="1:26" ht="14.4" x14ac:dyDescent="0.3">
      <c r="A18" s="16" t="s">
        <v>86</v>
      </c>
      <c r="B18" s="17">
        <v>45410</v>
      </c>
      <c r="C18" s="16" t="s">
        <v>87</v>
      </c>
      <c r="D18" s="16" t="s">
        <v>88</v>
      </c>
      <c r="E18" s="16" t="s">
        <v>45</v>
      </c>
      <c r="F18" s="16" t="s">
        <v>46</v>
      </c>
      <c r="G18" s="16" t="s">
        <v>47</v>
      </c>
      <c r="H18" s="16">
        <v>4</v>
      </c>
      <c r="I18" s="16">
        <v>149.99</v>
      </c>
      <c r="J18" s="16" t="s">
        <v>58</v>
      </c>
      <c r="K18" s="16" t="s">
        <v>41</v>
      </c>
      <c r="L18" s="16" t="s">
        <v>28</v>
      </c>
      <c r="M18" s="17">
        <v>45374</v>
      </c>
      <c r="N18" s="16">
        <v>599.96</v>
      </c>
      <c r="O18" s="45">
        <v>0</v>
      </c>
      <c r="P18" s="46">
        <f t="shared" ca="1" si="0"/>
        <v>46008.502499305556</v>
      </c>
      <c r="Q18" s="45" t="str">
        <f t="shared" si="1"/>
        <v>MC</v>
      </c>
      <c r="R18" s="45" t="str">
        <v>CUST048</v>
      </c>
      <c r="S18" s="45">
        <v>4789.7900000000009</v>
      </c>
      <c r="U18" s="21" t="s">
        <v>457</v>
      </c>
      <c r="V18" s="20">
        <f>SUM(N122:N137)</f>
        <v>20609.52</v>
      </c>
      <c r="W18" s="22">
        <f t="shared" si="2"/>
        <v>0.58662797903847075</v>
      </c>
    </row>
    <row r="19" spans="1:26" ht="14.4" x14ac:dyDescent="0.3">
      <c r="A19" s="16" t="s">
        <v>89</v>
      </c>
      <c r="B19" s="17">
        <v>45410</v>
      </c>
      <c r="C19" s="16" t="s">
        <v>90</v>
      </c>
      <c r="D19" s="16" t="s">
        <v>91</v>
      </c>
      <c r="E19" s="16" t="s">
        <v>81</v>
      </c>
      <c r="F19" s="16" t="s">
        <v>82</v>
      </c>
      <c r="G19" s="16" t="s">
        <v>20</v>
      </c>
      <c r="H19" s="16">
        <v>2</v>
      </c>
      <c r="I19" s="16">
        <v>699.99</v>
      </c>
      <c r="J19" s="16" t="s">
        <v>21</v>
      </c>
      <c r="K19" s="16" t="s">
        <v>41</v>
      </c>
      <c r="L19" s="16" t="s">
        <v>23</v>
      </c>
      <c r="M19" s="17">
        <v>44781</v>
      </c>
      <c r="N19" s="16">
        <v>1399.98</v>
      </c>
      <c r="O19" s="45">
        <v>1</v>
      </c>
      <c r="P19" s="46">
        <f t="shared" ca="1" si="0"/>
        <v>46008.502499305556</v>
      </c>
      <c r="Q19" s="45" t="str">
        <f t="shared" si="1"/>
        <v>MG</v>
      </c>
      <c r="R19" s="45" t="str">
        <v>CUST018</v>
      </c>
      <c r="S19" s="45">
        <v>10649.8</v>
      </c>
      <c r="U19" s="21" t="s">
        <v>458</v>
      </c>
      <c r="V19" s="20">
        <f>SUM(N138:N154)</f>
        <v>12309.439999999999</v>
      </c>
      <c r="W19" s="22">
        <f t="shared" si="2"/>
        <v>-0.40273038867474842</v>
      </c>
    </row>
    <row r="20" spans="1:26" ht="14.4" x14ac:dyDescent="0.3">
      <c r="A20" s="16" t="s">
        <v>92</v>
      </c>
      <c r="B20" s="17">
        <v>45410</v>
      </c>
      <c r="C20" s="16" t="s">
        <v>87</v>
      </c>
      <c r="D20" s="16" t="s">
        <v>88</v>
      </c>
      <c r="E20" s="16" t="s">
        <v>62</v>
      </c>
      <c r="F20" s="16" t="s">
        <v>63</v>
      </c>
      <c r="G20" s="16" t="s">
        <v>20</v>
      </c>
      <c r="H20" s="16">
        <v>4</v>
      </c>
      <c r="I20" s="16">
        <v>899.99</v>
      </c>
      <c r="J20" s="16" t="s">
        <v>27</v>
      </c>
      <c r="K20" s="16" t="s">
        <v>51</v>
      </c>
      <c r="L20" s="16" t="s">
        <v>37</v>
      </c>
      <c r="M20" s="17">
        <v>45327</v>
      </c>
      <c r="N20" s="16">
        <v>3599.96</v>
      </c>
      <c r="O20" s="45">
        <v>0</v>
      </c>
      <c r="P20" s="46">
        <f t="shared" ca="1" si="0"/>
        <v>46008.502499305556</v>
      </c>
      <c r="Q20" s="45" t="str">
        <f t="shared" si="1"/>
        <v>MC</v>
      </c>
      <c r="R20" s="45" t="str">
        <v>CUST012</v>
      </c>
      <c r="S20" s="45">
        <v>9799.73</v>
      </c>
      <c r="U20" s="21" t="s">
        <v>459</v>
      </c>
      <c r="V20" s="20">
        <f>SUM(N155:N179)</f>
        <v>23039.3</v>
      </c>
      <c r="W20" s="22">
        <f t="shared" si="2"/>
        <v>0.87167734681675213</v>
      </c>
    </row>
    <row r="21" spans="1:26" ht="15.75" customHeight="1" x14ac:dyDescent="0.3">
      <c r="A21" s="16" t="s">
        <v>93</v>
      </c>
      <c r="B21" s="17">
        <v>45410</v>
      </c>
      <c r="C21" s="16" t="s">
        <v>94</v>
      </c>
      <c r="D21" s="16" t="s">
        <v>95</v>
      </c>
      <c r="E21" s="16" t="s">
        <v>18</v>
      </c>
      <c r="F21" s="16" t="s">
        <v>19</v>
      </c>
      <c r="G21" s="16" t="s">
        <v>20</v>
      </c>
      <c r="H21" s="16">
        <v>3</v>
      </c>
      <c r="I21" s="16">
        <v>249.99</v>
      </c>
      <c r="J21" s="16" t="s">
        <v>27</v>
      </c>
      <c r="K21" s="16" t="s">
        <v>41</v>
      </c>
      <c r="L21" s="16" t="s">
        <v>28</v>
      </c>
      <c r="M21" s="17">
        <v>45224</v>
      </c>
      <c r="N21" s="16">
        <v>749.97</v>
      </c>
      <c r="O21" s="45">
        <v>0</v>
      </c>
      <c r="P21" s="46">
        <f t="shared" ca="1" si="0"/>
        <v>46008.502499305556</v>
      </c>
      <c r="Q21" s="45" t="str">
        <f t="shared" si="1"/>
        <v>VS</v>
      </c>
      <c r="R21" s="45" t="str">
        <v>CUST044</v>
      </c>
      <c r="S21" s="45">
        <v>3769.8300000000004</v>
      </c>
      <c r="U21" s="21" t="s">
        <v>460</v>
      </c>
      <c r="V21" s="20">
        <f>SUM(N180:N205)</f>
        <v>25799.15</v>
      </c>
      <c r="W21" s="22">
        <f t="shared" si="2"/>
        <v>0.11978879566653511</v>
      </c>
    </row>
    <row r="22" spans="1:26" ht="15.75" customHeight="1" x14ac:dyDescent="0.3">
      <c r="A22" s="16" t="s">
        <v>96</v>
      </c>
      <c r="B22" s="17">
        <v>45412</v>
      </c>
      <c r="C22" s="16" t="s">
        <v>97</v>
      </c>
      <c r="D22" s="16" t="s">
        <v>98</v>
      </c>
      <c r="E22" s="16" t="s">
        <v>81</v>
      </c>
      <c r="F22" s="16" t="s">
        <v>82</v>
      </c>
      <c r="G22" s="16" t="s">
        <v>20</v>
      </c>
      <c r="H22" s="16">
        <v>5</v>
      </c>
      <c r="I22" s="16">
        <v>699.99</v>
      </c>
      <c r="J22" s="16" t="s">
        <v>21</v>
      </c>
      <c r="K22" s="16" t="s">
        <v>51</v>
      </c>
      <c r="L22" s="16" t="s">
        <v>23</v>
      </c>
      <c r="M22" s="17">
        <v>45167</v>
      </c>
      <c r="N22" s="16">
        <v>3499.95</v>
      </c>
      <c r="O22" s="45">
        <v>0</v>
      </c>
      <c r="P22" s="46">
        <f t="shared" ca="1" si="0"/>
        <v>46008.502499305556</v>
      </c>
      <c r="Q22" s="45" t="str">
        <f t="shared" si="1"/>
        <v>BY</v>
      </c>
      <c r="R22" s="45" t="str">
        <v>CUST036</v>
      </c>
      <c r="S22" s="45">
        <v>4189.7700000000004</v>
      </c>
      <c r="U22" s="21" t="s">
        <v>461</v>
      </c>
      <c r="V22" s="20">
        <f>SUM(N206:N225)</f>
        <v>16069.379999999997</v>
      </c>
      <c r="W22" s="22">
        <f t="shared" si="2"/>
        <v>-0.37713529321702471</v>
      </c>
    </row>
    <row r="23" spans="1:26" ht="15.75" customHeight="1" x14ac:dyDescent="0.3">
      <c r="A23" s="16" t="s">
        <v>99</v>
      </c>
      <c r="B23" s="17">
        <v>45413</v>
      </c>
      <c r="C23" s="16" t="s">
        <v>100</v>
      </c>
      <c r="D23" s="16" t="s">
        <v>101</v>
      </c>
      <c r="E23" s="16" t="s">
        <v>81</v>
      </c>
      <c r="F23" s="16" t="s">
        <v>82</v>
      </c>
      <c r="G23" s="16" t="s">
        <v>20</v>
      </c>
      <c r="H23" s="16">
        <v>4</v>
      </c>
      <c r="I23" s="16">
        <v>699.99</v>
      </c>
      <c r="J23" s="16" t="s">
        <v>21</v>
      </c>
      <c r="K23" s="16" t="s">
        <v>64</v>
      </c>
      <c r="L23" s="16" t="s">
        <v>37</v>
      </c>
      <c r="M23" s="17">
        <v>44409</v>
      </c>
      <c r="N23" s="16">
        <v>2799.96</v>
      </c>
      <c r="O23" s="45">
        <v>2</v>
      </c>
      <c r="P23" s="46">
        <f t="shared" ca="1" si="0"/>
        <v>46008.502499305556</v>
      </c>
      <c r="Q23" s="45" t="str">
        <f t="shared" si="1"/>
        <v>PM</v>
      </c>
      <c r="R23" s="45" t="str">
        <v>CUST014</v>
      </c>
      <c r="S23" s="45">
        <v>1289.9000000000001</v>
      </c>
      <c r="U23" s="21" t="s">
        <v>462</v>
      </c>
      <c r="V23" s="20">
        <f>SUM(N226:N244)</f>
        <v>19899.379999999997</v>
      </c>
      <c r="W23" s="22">
        <f t="shared" si="2"/>
        <v>0.23834149170658736</v>
      </c>
    </row>
    <row r="24" spans="1:26" ht="15.75" customHeight="1" x14ac:dyDescent="0.3">
      <c r="A24" s="16" t="s">
        <v>102</v>
      </c>
      <c r="B24" s="17">
        <v>45415</v>
      </c>
      <c r="C24" s="16" t="s">
        <v>103</v>
      </c>
      <c r="D24" s="16" t="s">
        <v>104</v>
      </c>
      <c r="E24" s="16" t="s">
        <v>18</v>
      </c>
      <c r="F24" s="16" t="s">
        <v>19</v>
      </c>
      <c r="G24" s="16" t="s">
        <v>20</v>
      </c>
      <c r="H24" s="16">
        <v>4</v>
      </c>
      <c r="I24" s="16">
        <v>249.99</v>
      </c>
      <c r="J24" s="16" t="s">
        <v>35</v>
      </c>
      <c r="K24" s="16" t="s">
        <v>41</v>
      </c>
      <c r="L24" s="16" t="s">
        <v>37</v>
      </c>
      <c r="M24" s="17">
        <v>44468</v>
      </c>
      <c r="N24" s="16">
        <v>999.96</v>
      </c>
      <c r="O24" s="45">
        <v>2</v>
      </c>
      <c r="P24" s="46">
        <f t="shared" ca="1" si="0"/>
        <v>46008.502499305556</v>
      </c>
      <c r="Q24" s="45" t="str">
        <f t="shared" si="1"/>
        <v>CP</v>
      </c>
      <c r="R24" s="45" t="str">
        <v>CUST030</v>
      </c>
      <c r="S24" s="45">
        <v>6459.79</v>
      </c>
      <c r="U24" s="21" t="s">
        <v>463</v>
      </c>
      <c r="V24" s="20">
        <f>SUM(N245:N251)</f>
        <v>6979.829999999999</v>
      </c>
      <c r="W24" s="22">
        <f t="shared" si="2"/>
        <v>-0.6492438457881603</v>
      </c>
    </row>
    <row r="25" spans="1:26" ht="15.75" customHeight="1" x14ac:dyDescent="0.3">
      <c r="A25" s="16" t="s">
        <v>105</v>
      </c>
      <c r="B25" s="17">
        <v>45416</v>
      </c>
      <c r="C25" s="16" t="s">
        <v>87</v>
      </c>
      <c r="D25" s="16" t="s">
        <v>88</v>
      </c>
      <c r="E25" s="16" t="s">
        <v>106</v>
      </c>
      <c r="F25" s="16" t="s">
        <v>107</v>
      </c>
      <c r="G25" s="16" t="s">
        <v>47</v>
      </c>
      <c r="H25" s="16">
        <v>4</v>
      </c>
      <c r="I25" s="16">
        <v>299.99</v>
      </c>
      <c r="J25" s="16" t="s">
        <v>21</v>
      </c>
      <c r="K25" s="16" t="s">
        <v>51</v>
      </c>
      <c r="L25" s="16" t="s">
        <v>28</v>
      </c>
      <c r="M25" s="17">
        <v>44716</v>
      </c>
      <c r="N25" s="16">
        <v>1199.96</v>
      </c>
      <c r="O25" s="45">
        <v>1</v>
      </c>
      <c r="P25" s="46">
        <f t="shared" ca="1" si="0"/>
        <v>46008.502499305556</v>
      </c>
      <c r="Q25" s="45" t="str">
        <f t="shared" si="1"/>
        <v>MC</v>
      </c>
      <c r="R25" s="45" t="str">
        <v>CUST029</v>
      </c>
      <c r="S25" s="45">
        <v>11919.769999999999</v>
      </c>
    </row>
    <row r="26" spans="1:26" ht="15.75" customHeight="1" x14ac:dyDescent="0.3">
      <c r="A26" s="16" t="s">
        <v>108</v>
      </c>
      <c r="B26" s="17">
        <v>45422</v>
      </c>
      <c r="C26" s="16" t="s">
        <v>109</v>
      </c>
      <c r="D26" s="16" t="s">
        <v>110</v>
      </c>
      <c r="E26" s="16" t="s">
        <v>18</v>
      </c>
      <c r="F26" s="16" t="s">
        <v>19</v>
      </c>
      <c r="G26" s="16" t="s">
        <v>20</v>
      </c>
      <c r="H26" s="16">
        <v>5</v>
      </c>
      <c r="I26" s="16">
        <v>249.99</v>
      </c>
      <c r="J26" s="16" t="s">
        <v>27</v>
      </c>
      <c r="K26" s="16" t="s">
        <v>51</v>
      </c>
      <c r="L26" s="16" t="s">
        <v>37</v>
      </c>
      <c r="M26" s="17">
        <v>44525</v>
      </c>
      <c r="N26" s="16">
        <v>1249.95</v>
      </c>
      <c r="O26" s="45">
        <v>2</v>
      </c>
      <c r="P26" s="46">
        <f t="shared" ca="1" si="0"/>
        <v>46008.502499305556</v>
      </c>
      <c r="Q26" s="45" t="str">
        <f t="shared" si="1"/>
        <v>NC</v>
      </c>
      <c r="R26" s="45" t="str">
        <v>CUST006</v>
      </c>
      <c r="S26" s="45">
        <v>2039.8000000000002</v>
      </c>
      <c r="W26" s="23" t="s">
        <v>476</v>
      </c>
    </row>
    <row r="27" spans="1:26" ht="15.75" customHeight="1" x14ac:dyDescent="0.3">
      <c r="A27" s="16" t="s">
        <v>111</v>
      </c>
      <c r="B27" s="17">
        <v>45424</v>
      </c>
      <c r="C27" s="16" t="s">
        <v>69</v>
      </c>
      <c r="D27" s="16" t="s">
        <v>70</v>
      </c>
      <c r="E27" s="16" t="s">
        <v>106</v>
      </c>
      <c r="F27" s="16" t="s">
        <v>107</v>
      </c>
      <c r="G27" s="16" t="s">
        <v>47</v>
      </c>
      <c r="H27" s="16">
        <v>5</v>
      </c>
      <c r="I27" s="16">
        <v>299.99</v>
      </c>
      <c r="J27" s="16" t="s">
        <v>35</v>
      </c>
      <c r="K27" s="16" t="s">
        <v>64</v>
      </c>
      <c r="L27" s="16" t="s">
        <v>23</v>
      </c>
      <c r="M27" s="17">
        <v>45168</v>
      </c>
      <c r="N27" s="16">
        <v>1499.95</v>
      </c>
      <c r="O27" s="45">
        <v>0</v>
      </c>
      <c r="P27" s="46">
        <f t="shared" ca="1" si="0"/>
        <v>46008.502499305556</v>
      </c>
      <c r="Q27" s="45" t="str">
        <f t="shared" si="1"/>
        <v>SG</v>
      </c>
      <c r="R27" s="45" t="str">
        <v>CUST002</v>
      </c>
      <c r="S27" s="45">
        <v>1229.8800000000001</v>
      </c>
      <c r="U27" s="24" t="s">
        <v>403</v>
      </c>
      <c r="V27" s="25">
        <f>SUM(N2:N251)</f>
        <v>229192.47000000032</v>
      </c>
      <c r="W27" s="20">
        <v>-335544.32000000001</v>
      </c>
    </row>
    <row r="28" spans="1:26" ht="15.75" customHeight="1" x14ac:dyDescent="0.3">
      <c r="A28" s="16" t="s">
        <v>112</v>
      </c>
      <c r="B28" s="17">
        <v>45424</v>
      </c>
      <c r="C28" s="16" t="s">
        <v>113</v>
      </c>
      <c r="D28" s="16" t="s">
        <v>114</v>
      </c>
      <c r="E28" s="16" t="s">
        <v>115</v>
      </c>
      <c r="F28" s="16" t="s">
        <v>116</v>
      </c>
      <c r="G28" s="16" t="s">
        <v>34</v>
      </c>
      <c r="H28" s="16">
        <v>3</v>
      </c>
      <c r="I28" s="16">
        <v>79.989999999999995</v>
      </c>
      <c r="J28" s="16" t="s">
        <v>35</v>
      </c>
      <c r="K28" s="16" t="s">
        <v>64</v>
      </c>
      <c r="L28" s="16" t="s">
        <v>28</v>
      </c>
      <c r="M28" s="17">
        <v>45012</v>
      </c>
      <c r="N28" s="16">
        <v>239.97</v>
      </c>
      <c r="O28" s="45">
        <v>1</v>
      </c>
      <c r="P28" s="46">
        <f t="shared" ca="1" si="0"/>
        <v>46008.502499305556</v>
      </c>
      <c r="Q28" s="45" t="str">
        <f t="shared" si="1"/>
        <v>LM</v>
      </c>
      <c r="R28" s="45" t="str">
        <v>CUST031</v>
      </c>
      <c r="S28" s="45">
        <v>2649.83</v>
      </c>
    </row>
    <row r="29" spans="1:26" ht="15.75" customHeight="1" x14ac:dyDescent="0.3">
      <c r="A29" s="16" t="s">
        <v>117</v>
      </c>
      <c r="B29" s="17">
        <v>45424</v>
      </c>
      <c r="C29" s="16" t="s">
        <v>100</v>
      </c>
      <c r="D29" s="16" t="s">
        <v>101</v>
      </c>
      <c r="E29" s="16" t="s">
        <v>118</v>
      </c>
      <c r="F29" s="16" t="s">
        <v>119</v>
      </c>
      <c r="G29" s="16" t="s">
        <v>20</v>
      </c>
      <c r="H29" s="16">
        <v>5</v>
      </c>
      <c r="I29" s="16">
        <v>89.99</v>
      </c>
      <c r="J29" s="16" t="s">
        <v>21</v>
      </c>
      <c r="K29" s="16" t="s">
        <v>41</v>
      </c>
      <c r="L29" s="16" t="s">
        <v>28</v>
      </c>
      <c r="M29" s="17">
        <v>44919</v>
      </c>
      <c r="N29" s="16">
        <v>449.95</v>
      </c>
      <c r="O29" s="45">
        <v>1</v>
      </c>
      <c r="P29" s="46">
        <f t="shared" ca="1" si="0"/>
        <v>46008.502499305556</v>
      </c>
      <c r="Q29" s="45" t="str">
        <f t="shared" si="1"/>
        <v>PM</v>
      </c>
      <c r="R29" s="45" t="str">
        <v>CUST008</v>
      </c>
      <c r="S29" s="45">
        <v>4739.8500000000004</v>
      </c>
      <c r="U29" s="24" t="s">
        <v>481</v>
      </c>
      <c r="V29" s="20" t="str" cm="1">
        <f t="array" ref="V29">INDEX(F2:F251, MATCH(MAX(COUNTIF(F2:F251, F2:F251)), COUNTIF(F2:F251, F2:F251), 0))</f>
        <v>Bookshelf</v>
      </c>
      <c r="W29" s="20">
        <f>COUNTIF(F2:F251,"Bookshelf")</f>
        <v>35</v>
      </c>
    </row>
    <row r="30" spans="1:26" ht="15.75" customHeight="1" x14ac:dyDescent="0.3">
      <c r="A30" s="16" t="s">
        <v>120</v>
      </c>
      <c r="B30" s="17">
        <v>45425</v>
      </c>
      <c r="C30" s="16" t="s">
        <v>121</v>
      </c>
      <c r="D30" s="16" t="s">
        <v>122</v>
      </c>
      <c r="E30" s="16" t="s">
        <v>32</v>
      </c>
      <c r="F30" s="16" t="s">
        <v>33</v>
      </c>
      <c r="G30" s="16" t="s">
        <v>34</v>
      </c>
      <c r="H30" s="16">
        <v>2</v>
      </c>
      <c r="I30" s="16">
        <v>59.99</v>
      </c>
      <c r="J30" s="16" t="s">
        <v>58</v>
      </c>
      <c r="K30" s="16" t="s">
        <v>22</v>
      </c>
      <c r="L30" s="16" t="s">
        <v>37</v>
      </c>
      <c r="M30" s="17">
        <v>45214</v>
      </c>
      <c r="N30" s="16">
        <v>119.98</v>
      </c>
      <c r="O30" s="45">
        <v>0</v>
      </c>
      <c r="P30" s="46">
        <f t="shared" ca="1" si="0"/>
        <v>46008.502499305556</v>
      </c>
      <c r="Q30" s="45" t="str">
        <f t="shared" si="1"/>
        <v>HR</v>
      </c>
      <c r="R30" s="45" t="str">
        <v>CUST035</v>
      </c>
      <c r="S30" s="45">
        <v>5519.8899999999994</v>
      </c>
    </row>
    <row r="31" spans="1:26" ht="15.75" customHeight="1" x14ac:dyDescent="0.3">
      <c r="A31" s="16" t="s">
        <v>123</v>
      </c>
      <c r="B31" s="17">
        <v>45427</v>
      </c>
      <c r="C31" s="16" t="s">
        <v>124</v>
      </c>
      <c r="D31" s="16" t="s">
        <v>125</v>
      </c>
      <c r="E31" s="16" t="s">
        <v>32</v>
      </c>
      <c r="F31" s="16" t="s">
        <v>33</v>
      </c>
      <c r="G31" s="16" t="s">
        <v>34</v>
      </c>
      <c r="H31" s="16">
        <v>4</v>
      </c>
      <c r="I31" s="16">
        <v>59.99</v>
      </c>
      <c r="J31" s="16" t="s">
        <v>58</v>
      </c>
      <c r="K31" s="16" t="s">
        <v>64</v>
      </c>
      <c r="L31" s="16" t="s">
        <v>37</v>
      </c>
      <c r="M31" s="17">
        <v>44867</v>
      </c>
      <c r="N31" s="16">
        <v>239.96</v>
      </c>
      <c r="O31" s="45">
        <v>1</v>
      </c>
      <c r="P31" s="46">
        <f t="shared" ca="1" si="0"/>
        <v>46008.502499305556</v>
      </c>
      <c r="Q31" s="45" t="str">
        <f t="shared" si="1"/>
        <v>EM</v>
      </c>
      <c r="R31" s="45" t="str">
        <v>CUST019</v>
      </c>
      <c r="S31" s="45">
        <v>7309.7999999999993</v>
      </c>
      <c r="U31" s="24" t="s">
        <v>479</v>
      </c>
      <c r="V31" s="20">
        <v>250</v>
      </c>
    </row>
    <row r="32" spans="1:26" ht="15.75" customHeight="1" x14ac:dyDescent="0.3">
      <c r="A32" s="16" t="s">
        <v>126</v>
      </c>
      <c r="B32" s="17">
        <v>45427</v>
      </c>
      <c r="C32" s="16" t="s">
        <v>56</v>
      </c>
      <c r="D32" s="16" t="s">
        <v>57</v>
      </c>
      <c r="E32" s="16" t="s">
        <v>127</v>
      </c>
      <c r="F32" s="16" t="s">
        <v>128</v>
      </c>
      <c r="G32" s="16" t="s">
        <v>47</v>
      </c>
      <c r="H32" s="16">
        <v>5</v>
      </c>
      <c r="I32" s="16">
        <v>199.99</v>
      </c>
      <c r="J32" s="16" t="s">
        <v>21</v>
      </c>
      <c r="K32" s="16" t="s">
        <v>36</v>
      </c>
      <c r="L32" s="16" t="s">
        <v>37</v>
      </c>
      <c r="M32" s="17">
        <v>44412</v>
      </c>
      <c r="N32" s="16">
        <v>999.95</v>
      </c>
      <c r="O32" s="45">
        <v>2</v>
      </c>
      <c r="P32" s="46">
        <f t="shared" ca="1" si="0"/>
        <v>46008.502499305556</v>
      </c>
      <c r="Q32" s="45" t="str">
        <f t="shared" si="1"/>
        <v>CA</v>
      </c>
      <c r="R32" s="45" t="str">
        <v>CUST040</v>
      </c>
      <c r="S32" s="45">
        <v>5619.869999999999</v>
      </c>
    </row>
    <row r="33" spans="1:22" ht="15.75" customHeight="1" x14ac:dyDescent="0.3">
      <c r="A33" s="16" t="s">
        <v>129</v>
      </c>
      <c r="B33" s="17">
        <v>45428</v>
      </c>
      <c r="C33" s="16" t="s">
        <v>130</v>
      </c>
      <c r="D33" s="16" t="s">
        <v>131</v>
      </c>
      <c r="E33" s="16" t="s">
        <v>45</v>
      </c>
      <c r="F33" s="16" t="s">
        <v>46</v>
      </c>
      <c r="G33" s="16" t="s">
        <v>47</v>
      </c>
      <c r="H33" s="16">
        <v>2</v>
      </c>
      <c r="I33" s="16">
        <v>149.99</v>
      </c>
      <c r="J33" s="16" t="s">
        <v>27</v>
      </c>
      <c r="K33" s="16" t="s">
        <v>51</v>
      </c>
      <c r="L33" s="16" t="s">
        <v>23</v>
      </c>
      <c r="M33" s="17">
        <v>44823</v>
      </c>
      <c r="N33" s="16">
        <v>299.98</v>
      </c>
      <c r="O33" s="45">
        <v>1</v>
      </c>
      <c r="P33" s="46">
        <f t="shared" ca="1" si="0"/>
        <v>46008.502499305556</v>
      </c>
      <c r="Q33" s="45" t="str">
        <f t="shared" si="1"/>
        <v>LA</v>
      </c>
      <c r="R33" s="45" t="str">
        <v>CUST004</v>
      </c>
      <c r="S33" s="45">
        <v>5499.8099999999995</v>
      </c>
      <c r="U33" s="24" t="s">
        <v>482</v>
      </c>
      <c r="V33" s="20" t="str">
        <f>IF(ISNUMBER(MATCH(D18, 'Top 5 customer'!F3:F12, 0)), D18, "No Match")</f>
        <v>Mark Carter</v>
      </c>
    </row>
    <row r="34" spans="1:22" ht="15.75" customHeight="1" x14ac:dyDescent="0.3">
      <c r="A34" s="16" t="s">
        <v>132</v>
      </c>
      <c r="B34" s="17">
        <v>45430</v>
      </c>
      <c r="C34" s="16" t="s">
        <v>133</v>
      </c>
      <c r="D34" s="16" t="s">
        <v>134</v>
      </c>
      <c r="E34" s="16" t="s">
        <v>45</v>
      </c>
      <c r="F34" s="16" t="s">
        <v>46</v>
      </c>
      <c r="G34" s="16" t="s">
        <v>47</v>
      </c>
      <c r="H34" s="16">
        <v>3</v>
      </c>
      <c r="I34" s="16">
        <v>149.99</v>
      </c>
      <c r="J34" s="16" t="s">
        <v>27</v>
      </c>
      <c r="K34" s="16" t="s">
        <v>51</v>
      </c>
      <c r="L34" s="16" t="s">
        <v>28</v>
      </c>
      <c r="M34" s="17">
        <v>45068</v>
      </c>
      <c r="N34" s="16">
        <v>449.97</v>
      </c>
      <c r="O34" s="45">
        <v>0</v>
      </c>
      <c r="P34" s="46">
        <f t="shared" ca="1" si="0"/>
        <v>46008.502499305556</v>
      </c>
      <c r="Q34" s="45" t="str">
        <f t="shared" si="1"/>
        <v>EW</v>
      </c>
      <c r="R34" s="45" t="str">
        <v>CUST028</v>
      </c>
      <c r="S34" s="45">
        <v>5649.84</v>
      </c>
    </row>
    <row r="35" spans="1:22" ht="15.75" customHeight="1" x14ac:dyDescent="0.3">
      <c r="A35" s="16" t="s">
        <v>135</v>
      </c>
      <c r="B35" s="17">
        <v>45432</v>
      </c>
      <c r="C35" s="16" t="s">
        <v>30</v>
      </c>
      <c r="D35" s="16" t="s">
        <v>31</v>
      </c>
      <c r="E35" s="16" t="s">
        <v>62</v>
      </c>
      <c r="F35" s="16" t="s">
        <v>63</v>
      </c>
      <c r="G35" s="16" t="s">
        <v>20</v>
      </c>
      <c r="H35" s="16">
        <v>1</v>
      </c>
      <c r="I35" s="16">
        <v>899.99</v>
      </c>
      <c r="J35" s="16" t="s">
        <v>27</v>
      </c>
      <c r="K35" s="16" t="s">
        <v>51</v>
      </c>
      <c r="L35" s="16" t="s">
        <v>28</v>
      </c>
      <c r="M35" s="17">
        <v>44578</v>
      </c>
      <c r="N35" s="16">
        <v>899.99</v>
      </c>
      <c r="O35" s="45">
        <v>2</v>
      </c>
      <c r="P35" s="46">
        <f t="shared" ca="1" si="0"/>
        <v>46008.502499305556</v>
      </c>
      <c r="Q35" s="45" t="str">
        <f t="shared" si="1"/>
        <v>KS</v>
      </c>
      <c r="R35" s="45" t="str">
        <v>CUST050</v>
      </c>
      <c r="S35" s="45">
        <v>239.96</v>
      </c>
      <c r="U35" s="23" t="s">
        <v>469</v>
      </c>
      <c r="V35" s="20">
        <v>40000</v>
      </c>
    </row>
    <row r="36" spans="1:22" ht="15.75" customHeight="1" x14ac:dyDescent="0.3">
      <c r="A36" s="16" t="s">
        <v>136</v>
      </c>
      <c r="B36" s="17">
        <v>45434</v>
      </c>
      <c r="C36" s="16" t="s">
        <v>100</v>
      </c>
      <c r="D36" s="16" t="s">
        <v>101</v>
      </c>
      <c r="E36" s="16" t="s">
        <v>106</v>
      </c>
      <c r="F36" s="16" t="s">
        <v>107</v>
      </c>
      <c r="G36" s="16" t="s">
        <v>47</v>
      </c>
      <c r="H36" s="16">
        <v>3</v>
      </c>
      <c r="I36" s="16">
        <v>299.99</v>
      </c>
      <c r="J36" s="16" t="s">
        <v>27</v>
      </c>
      <c r="K36" s="16" t="s">
        <v>64</v>
      </c>
      <c r="L36" s="16" t="s">
        <v>23</v>
      </c>
      <c r="M36" s="17">
        <v>44824</v>
      </c>
      <c r="N36" s="16">
        <v>899.97</v>
      </c>
      <c r="O36" s="45">
        <v>1</v>
      </c>
      <c r="P36" s="46">
        <f t="shared" ca="1" si="0"/>
        <v>46008.502499305556</v>
      </c>
      <c r="Q36" s="45" t="str">
        <f t="shared" si="1"/>
        <v>PM</v>
      </c>
      <c r="R36" s="45" t="str">
        <v>CUST049</v>
      </c>
      <c r="S36" s="45">
        <v>3669.8500000000004</v>
      </c>
    </row>
    <row r="37" spans="1:22" ht="15.75" customHeight="1" x14ac:dyDescent="0.3">
      <c r="A37" s="16" t="s">
        <v>137</v>
      </c>
      <c r="B37" s="17">
        <v>45435</v>
      </c>
      <c r="C37" s="16" t="s">
        <v>130</v>
      </c>
      <c r="D37" s="16" t="s">
        <v>131</v>
      </c>
      <c r="E37" s="16" t="s">
        <v>115</v>
      </c>
      <c r="F37" s="16" t="s">
        <v>116</v>
      </c>
      <c r="G37" s="16" t="s">
        <v>34</v>
      </c>
      <c r="H37" s="16">
        <v>3</v>
      </c>
      <c r="I37" s="16">
        <v>79.989999999999995</v>
      </c>
      <c r="J37" s="16" t="s">
        <v>21</v>
      </c>
      <c r="K37" s="16" t="s">
        <v>36</v>
      </c>
      <c r="L37" s="16" t="s">
        <v>23</v>
      </c>
      <c r="M37" s="17">
        <v>45046</v>
      </c>
      <c r="N37" s="16">
        <v>239.97</v>
      </c>
      <c r="O37" s="45">
        <v>1</v>
      </c>
      <c r="P37" s="46">
        <f t="shared" ca="1" si="0"/>
        <v>46008.502499305556</v>
      </c>
      <c r="Q37" s="45" t="str">
        <f t="shared" si="1"/>
        <v>LA</v>
      </c>
      <c r="R37" s="45" t="str">
        <v>CUST007</v>
      </c>
      <c r="S37" s="45">
        <v>1809.84</v>
      </c>
    </row>
    <row r="38" spans="1:22" ht="15.75" customHeight="1" x14ac:dyDescent="0.3">
      <c r="A38" s="16" t="s">
        <v>138</v>
      </c>
      <c r="B38" s="17">
        <v>45438</v>
      </c>
      <c r="C38" s="16" t="s">
        <v>139</v>
      </c>
      <c r="D38" s="16" t="s">
        <v>140</v>
      </c>
      <c r="E38" s="16" t="s">
        <v>127</v>
      </c>
      <c r="F38" s="16" t="s">
        <v>128</v>
      </c>
      <c r="G38" s="16" t="s">
        <v>47</v>
      </c>
      <c r="H38" s="16">
        <v>3</v>
      </c>
      <c r="I38" s="16">
        <v>199.99</v>
      </c>
      <c r="J38" s="16" t="s">
        <v>27</v>
      </c>
      <c r="K38" s="16" t="s">
        <v>41</v>
      </c>
      <c r="L38" s="16" t="s">
        <v>28</v>
      </c>
      <c r="M38" s="17">
        <v>45292</v>
      </c>
      <c r="N38" s="16">
        <v>599.97</v>
      </c>
      <c r="O38" s="45">
        <v>0</v>
      </c>
      <c r="P38" s="46">
        <f t="shared" ca="1" si="0"/>
        <v>46008.502499305556</v>
      </c>
      <c r="Q38" s="45" t="str">
        <f t="shared" si="1"/>
        <v>ST</v>
      </c>
      <c r="R38" s="45" t="str">
        <v>CUST020</v>
      </c>
      <c r="S38" s="45">
        <v>2099.88</v>
      </c>
    </row>
    <row r="39" spans="1:22" ht="15.75" customHeight="1" x14ac:dyDescent="0.3">
      <c r="A39" s="16" t="s">
        <v>141</v>
      </c>
      <c r="B39" s="17">
        <v>45440</v>
      </c>
      <c r="C39" s="16" t="s">
        <v>142</v>
      </c>
      <c r="D39" s="16" t="s">
        <v>143</v>
      </c>
      <c r="E39" s="16" t="s">
        <v>81</v>
      </c>
      <c r="F39" s="16" t="s">
        <v>82</v>
      </c>
      <c r="G39" s="16" t="s">
        <v>20</v>
      </c>
      <c r="H39" s="16">
        <v>5</v>
      </c>
      <c r="I39" s="16">
        <v>699.99</v>
      </c>
      <c r="J39" s="16" t="s">
        <v>35</v>
      </c>
      <c r="K39" s="16" t="s">
        <v>51</v>
      </c>
      <c r="L39" s="16" t="s">
        <v>37</v>
      </c>
      <c r="M39" s="17">
        <v>44407</v>
      </c>
      <c r="N39" s="16">
        <v>3499.95</v>
      </c>
      <c r="O39" s="45">
        <v>2</v>
      </c>
      <c r="P39" s="46">
        <f t="shared" ca="1" si="0"/>
        <v>46008.502499305556</v>
      </c>
      <c r="Q39" s="45" t="str">
        <f t="shared" si="1"/>
        <v>JT</v>
      </c>
      <c r="R39" s="45" t="str">
        <v>CUST033</v>
      </c>
      <c r="S39" s="45">
        <v>1479.91</v>
      </c>
    </row>
    <row r="40" spans="1:22" ht="15.75" customHeight="1" x14ac:dyDescent="0.3">
      <c r="A40" s="16" t="s">
        <v>144</v>
      </c>
      <c r="B40" s="17">
        <v>45441</v>
      </c>
      <c r="C40" s="16" t="s">
        <v>145</v>
      </c>
      <c r="D40" s="16" t="s">
        <v>146</v>
      </c>
      <c r="E40" s="16" t="s">
        <v>118</v>
      </c>
      <c r="F40" s="16" t="s">
        <v>119</v>
      </c>
      <c r="G40" s="16" t="s">
        <v>20</v>
      </c>
      <c r="H40" s="16">
        <v>3</v>
      </c>
      <c r="I40" s="16">
        <v>89.99</v>
      </c>
      <c r="J40" s="16" t="s">
        <v>35</v>
      </c>
      <c r="K40" s="16" t="s">
        <v>22</v>
      </c>
      <c r="L40" s="16" t="s">
        <v>28</v>
      </c>
      <c r="M40" s="17">
        <v>45120</v>
      </c>
      <c r="N40" s="16">
        <v>269.97000000000003</v>
      </c>
      <c r="O40" s="45">
        <v>0</v>
      </c>
      <c r="P40" s="46">
        <f t="shared" ca="1" si="0"/>
        <v>46008.502499305556</v>
      </c>
      <c r="Q40" s="45" t="str">
        <f t="shared" si="1"/>
        <v>HM</v>
      </c>
      <c r="R40" s="45" t="str">
        <v>CUST047</v>
      </c>
      <c r="S40" s="45">
        <v>6379.87</v>
      </c>
    </row>
    <row r="41" spans="1:22" ht="15.75" customHeight="1" x14ac:dyDescent="0.3">
      <c r="A41" s="16" t="s">
        <v>147</v>
      </c>
      <c r="B41" s="17">
        <v>45443</v>
      </c>
      <c r="C41" s="16" t="s">
        <v>148</v>
      </c>
      <c r="D41" s="16" t="s">
        <v>149</v>
      </c>
      <c r="E41" s="16" t="s">
        <v>115</v>
      </c>
      <c r="F41" s="16" t="s">
        <v>116</v>
      </c>
      <c r="G41" s="16" t="s">
        <v>34</v>
      </c>
      <c r="H41" s="16">
        <v>1</v>
      </c>
      <c r="I41" s="16">
        <v>79.989999999999995</v>
      </c>
      <c r="J41" s="16" t="s">
        <v>21</v>
      </c>
      <c r="K41" s="16" t="s">
        <v>41</v>
      </c>
      <c r="L41" s="16" t="s">
        <v>37</v>
      </c>
      <c r="M41" s="17">
        <v>44917</v>
      </c>
      <c r="N41" s="16">
        <v>79.989999999999995</v>
      </c>
      <c r="O41" s="45">
        <v>1</v>
      </c>
      <c r="P41" s="46">
        <f t="shared" ca="1" si="0"/>
        <v>46008.502499305556</v>
      </c>
      <c r="Q41" s="45" t="str">
        <f t="shared" si="1"/>
        <v>DK</v>
      </c>
      <c r="R41" s="45" t="str">
        <v>CUST016</v>
      </c>
      <c r="S41" s="45">
        <v>3649.8599999999997</v>
      </c>
    </row>
    <row r="42" spans="1:22" ht="15.75" customHeight="1" x14ac:dyDescent="0.3">
      <c r="A42" s="16" t="s">
        <v>150</v>
      </c>
      <c r="B42" s="17">
        <v>45444</v>
      </c>
      <c r="C42" s="16" t="s">
        <v>151</v>
      </c>
      <c r="D42" s="16" t="s">
        <v>152</v>
      </c>
      <c r="E42" s="16" t="s">
        <v>32</v>
      </c>
      <c r="F42" s="16" t="s">
        <v>33</v>
      </c>
      <c r="G42" s="16" t="s">
        <v>34</v>
      </c>
      <c r="H42" s="16">
        <v>2</v>
      </c>
      <c r="I42" s="16">
        <v>59.99</v>
      </c>
      <c r="J42" s="16" t="s">
        <v>21</v>
      </c>
      <c r="K42" s="16" t="s">
        <v>51</v>
      </c>
      <c r="L42" s="16" t="s">
        <v>23</v>
      </c>
      <c r="M42" s="17">
        <v>45390</v>
      </c>
      <c r="N42" s="16">
        <v>119.98</v>
      </c>
      <c r="O42" s="45">
        <v>0</v>
      </c>
      <c r="P42" s="46">
        <f t="shared" ca="1" si="0"/>
        <v>46008.502499305556</v>
      </c>
      <c r="Q42" s="45" t="str">
        <f t="shared" si="1"/>
        <v>SB</v>
      </c>
      <c r="R42" s="45" t="str">
        <v>CUST039</v>
      </c>
      <c r="S42" s="45">
        <v>6989.7699999999986</v>
      </c>
    </row>
    <row r="43" spans="1:22" ht="15.75" customHeight="1" x14ac:dyDescent="0.3">
      <c r="A43" s="16" t="s">
        <v>153</v>
      </c>
      <c r="B43" s="17">
        <v>45444</v>
      </c>
      <c r="C43" s="16" t="s">
        <v>56</v>
      </c>
      <c r="D43" s="16" t="s">
        <v>57</v>
      </c>
      <c r="E43" s="16" t="s">
        <v>118</v>
      </c>
      <c r="F43" s="16" t="s">
        <v>119</v>
      </c>
      <c r="G43" s="16" t="s">
        <v>20</v>
      </c>
      <c r="H43" s="16">
        <v>1</v>
      </c>
      <c r="I43" s="16">
        <v>89.99</v>
      </c>
      <c r="J43" s="16" t="s">
        <v>21</v>
      </c>
      <c r="K43" s="16" t="s">
        <v>41</v>
      </c>
      <c r="L43" s="16" t="s">
        <v>23</v>
      </c>
      <c r="M43" s="17">
        <v>45141</v>
      </c>
      <c r="N43" s="16">
        <v>89.99</v>
      </c>
      <c r="O43" s="45">
        <v>0</v>
      </c>
      <c r="P43" s="46">
        <f t="shared" ca="1" si="0"/>
        <v>46008.502499305556</v>
      </c>
      <c r="Q43" s="45" t="str">
        <f t="shared" si="1"/>
        <v>CA</v>
      </c>
      <c r="R43" s="45" t="str">
        <v>CUST034</v>
      </c>
      <c r="S43" s="45">
        <v>1149.93</v>
      </c>
    </row>
    <row r="44" spans="1:22" ht="15.75" customHeight="1" x14ac:dyDescent="0.3">
      <c r="A44" s="16" t="s">
        <v>154</v>
      </c>
      <c r="B44" s="17">
        <v>45446</v>
      </c>
      <c r="C44" s="16" t="s">
        <v>155</v>
      </c>
      <c r="D44" s="16" t="s">
        <v>156</v>
      </c>
      <c r="E44" s="16" t="s">
        <v>118</v>
      </c>
      <c r="F44" s="16" t="s">
        <v>119</v>
      </c>
      <c r="G44" s="16" t="s">
        <v>20</v>
      </c>
      <c r="H44" s="16">
        <v>5</v>
      </c>
      <c r="I44" s="16">
        <v>89.99</v>
      </c>
      <c r="J44" s="16" t="s">
        <v>27</v>
      </c>
      <c r="K44" s="16" t="s">
        <v>64</v>
      </c>
      <c r="L44" s="16" t="s">
        <v>37</v>
      </c>
      <c r="M44" s="17">
        <v>44587</v>
      </c>
      <c r="N44" s="16">
        <v>449.95</v>
      </c>
      <c r="O44" s="45">
        <v>2</v>
      </c>
      <c r="P44" s="46">
        <f t="shared" ca="1" si="0"/>
        <v>46008.502499305556</v>
      </c>
      <c r="Q44" s="45" t="str">
        <f t="shared" si="1"/>
        <v>SD</v>
      </c>
      <c r="R44" s="45" t="str">
        <v>CUST032</v>
      </c>
      <c r="S44" s="45">
        <v>6349.83</v>
      </c>
    </row>
    <row r="45" spans="1:22" ht="15.75" customHeight="1" x14ac:dyDescent="0.3">
      <c r="A45" s="16" t="s">
        <v>157</v>
      </c>
      <c r="B45" s="17">
        <v>45449</v>
      </c>
      <c r="C45" s="16" t="s">
        <v>25</v>
      </c>
      <c r="D45" s="16" t="s">
        <v>26</v>
      </c>
      <c r="E45" s="16" t="s">
        <v>18</v>
      </c>
      <c r="F45" s="16" t="s">
        <v>19</v>
      </c>
      <c r="G45" s="16" t="s">
        <v>20</v>
      </c>
      <c r="H45" s="16">
        <v>5</v>
      </c>
      <c r="I45" s="16">
        <v>249.99</v>
      </c>
      <c r="J45" s="16" t="s">
        <v>27</v>
      </c>
      <c r="K45" s="16" t="s">
        <v>64</v>
      </c>
      <c r="L45" s="16" t="s">
        <v>37</v>
      </c>
      <c r="M45" s="17">
        <v>44707</v>
      </c>
      <c r="N45" s="16">
        <v>1249.95</v>
      </c>
      <c r="O45" s="45">
        <v>2</v>
      </c>
      <c r="P45" s="46">
        <f t="shared" ca="1" si="0"/>
        <v>46008.502499305556</v>
      </c>
      <c r="Q45" s="45" t="str">
        <f t="shared" si="1"/>
        <v>JJ</v>
      </c>
      <c r="R45" s="45" t="str">
        <v>CUST042</v>
      </c>
      <c r="S45" s="45">
        <v>1749.92</v>
      </c>
    </row>
    <row r="46" spans="1:22" ht="15.75" customHeight="1" x14ac:dyDescent="0.3">
      <c r="A46" s="16" t="s">
        <v>158</v>
      </c>
      <c r="B46" s="17">
        <v>45449</v>
      </c>
      <c r="C46" s="16" t="s">
        <v>159</v>
      </c>
      <c r="D46" s="16" t="s">
        <v>160</v>
      </c>
      <c r="E46" s="16" t="s">
        <v>118</v>
      </c>
      <c r="F46" s="16" t="s">
        <v>119</v>
      </c>
      <c r="G46" s="16" t="s">
        <v>20</v>
      </c>
      <c r="H46" s="16">
        <v>1</v>
      </c>
      <c r="I46" s="16">
        <v>89.99</v>
      </c>
      <c r="J46" s="16" t="s">
        <v>27</v>
      </c>
      <c r="K46" s="16" t="s">
        <v>36</v>
      </c>
      <c r="L46" s="16" t="s">
        <v>37</v>
      </c>
      <c r="M46" s="17">
        <v>44582</v>
      </c>
      <c r="N46" s="16">
        <v>89.99</v>
      </c>
      <c r="O46" s="45">
        <v>2</v>
      </c>
      <c r="P46" s="46">
        <f t="shared" ca="1" si="0"/>
        <v>46008.502499305556</v>
      </c>
      <c r="Q46" s="45" t="str">
        <f t="shared" si="1"/>
        <v>BC</v>
      </c>
      <c r="R46" s="45" t="str">
        <v>CUST011</v>
      </c>
      <c r="S46" s="45">
        <v>4749.91</v>
      </c>
    </row>
    <row r="47" spans="1:22" ht="15.75" customHeight="1" x14ac:dyDescent="0.3">
      <c r="A47" s="16" t="s">
        <v>161</v>
      </c>
      <c r="B47" s="17">
        <v>45450</v>
      </c>
      <c r="C47" s="16" t="s">
        <v>43</v>
      </c>
      <c r="D47" s="16" t="s">
        <v>44</v>
      </c>
      <c r="E47" s="16" t="s">
        <v>45</v>
      </c>
      <c r="F47" s="16" t="s">
        <v>46</v>
      </c>
      <c r="G47" s="16" t="s">
        <v>47</v>
      </c>
      <c r="H47" s="16">
        <v>2</v>
      </c>
      <c r="I47" s="16">
        <v>149.99</v>
      </c>
      <c r="J47" s="16" t="s">
        <v>21</v>
      </c>
      <c r="K47" s="16" t="s">
        <v>64</v>
      </c>
      <c r="L47" s="16" t="s">
        <v>28</v>
      </c>
      <c r="M47" s="17">
        <v>44645</v>
      </c>
      <c r="N47" s="16">
        <v>299.98</v>
      </c>
      <c r="O47" s="45">
        <v>2</v>
      </c>
      <c r="P47" s="46">
        <f t="shared" ca="1" si="0"/>
        <v>46008.502499305556</v>
      </c>
      <c r="Q47" s="45" t="str">
        <f t="shared" si="1"/>
        <v>MB</v>
      </c>
      <c r="R47" s="45" t="str">
        <v>CUST015</v>
      </c>
      <c r="S47" s="45">
        <v>739.93000000000006</v>
      </c>
    </row>
    <row r="48" spans="1:22" ht="15.75" customHeight="1" x14ac:dyDescent="0.3">
      <c r="A48" s="16" t="s">
        <v>162</v>
      </c>
      <c r="B48" s="17">
        <v>45452</v>
      </c>
      <c r="C48" s="16" t="s">
        <v>163</v>
      </c>
      <c r="D48" s="16" t="s">
        <v>164</v>
      </c>
      <c r="E48" s="16" t="s">
        <v>32</v>
      </c>
      <c r="F48" s="16" t="s">
        <v>33</v>
      </c>
      <c r="G48" s="16" t="s">
        <v>34</v>
      </c>
      <c r="H48" s="16">
        <v>4</v>
      </c>
      <c r="I48" s="16">
        <v>59.99</v>
      </c>
      <c r="J48" s="16" t="s">
        <v>21</v>
      </c>
      <c r="K48" s="16" t="s">
        <v>64</v>
      </c>
      <c r="L48" s="16" t="s">
        <v>37</v>
      </c>
      <c r="M48" s="17">
        <v>44435</v>
      </c>
      <c r="N48" s="16">
        <v>239.96</v>
      </c>
      <c r="O48" s="45">
        <v>2</v>
      </c>
      <c r="P48" s="46">
        <f t="shared" ca="1" si="0"/>
        <v>46008.502499305556</v>
      </c>
      <c r="Q48" s="45" t="str">
        <f t="shared" si="1"/>
        <v>JF</v>
      </c>
      <c r="R48" s="45" t="str">
        <v>CUST045</v>
      </c>
      <c r="S48" s="45">
        <v>4829.8899999999994</v>
      </c>
    </row>
    <row r="49" spans="1:19" ht="15.75" customHeight="1" x14ac:dyDescent="0.3">
      <c r="A49" s="16" t="s">
        <v>165</v>
      </c>
      <c r="B49" s="17">
        <v>45456</v>
      </c>
      <c r="C49" s="16" t="s">
        <v>130</v>
      </c>
      <c r="D49" s="16" t="s">
        <v>131</v>
      </c>
      <c r="E49" s="16" t="s">
        <v>118</v>
      </c>
      <c r="F49" s="16" t="s">
        <v>119</v>
      </c>
      <c r="G49" s="16" t="s">
        <v>20</v>
      </c>
      <c r="H49" s="16">
        <v>5</v>
      </c>
      <c r="I49" s="16">
        <v>89.99</v>
      </c>
      <c r="J49" s="16" t="s">
        <v>21</v>
      </c>
      <c r="K49" s="16" t="s">
        <v>22</v>
      </c>
      <c r="L49" s="16" t="s">
        <v>28</v>
      </c>
      <c r="M49" s="17">
        <v>44579</v>
      </c>
      <c r="N49" s="16">
        <v>449.95</v>
      </c>
      <c r="O49" s="45">
        <v>2</v>
      </c>
      <c r="P49" s="46">
        <f t="shared" ca="1" si="0"/>
        <v>46008.502499305556</v>
      </c>
      <c r="Q49" s="45" t="str">
        <f t="shared" si="1"/>
        <v>LA</v>
      </c>
      <c r="R49" s="45" t="str">
        <v>CUST005</v>
      </c>
      <c r="S49" s="45">
        <v>179.97</v>
      </c>
    </row>
    <row r="50" spans="1:19" ht="15.75" customHeight="1" x14ac:dyDescent="0.3">
      <c r="A50" s="16" t="s">
        <v>166</v>
      </c>
      <c r="B50" s="17">
        <v>45459</v>
      </c>
      <c r="C50" s="16" t="s">
        <v>100</v>
      </c>
      <c r="D50" s="16" t="s">
        <v>101</v>
      </c>
      <c r="E50" s="16" t="s">
        <v>118</v>
      </c>
      <c r="F50" s="16" t="s">
        <v>119</v>
      </c>
      <c r="G50" s="16" t="s">
        <v>20</v>
      </c>
      <c r="H50" s="16">
        <v>2</v>
      </c>
      <c r="I50" s="16">
        <v>89.99</v>
      </c>
      <c r="J50" s="16" t="s">
        <v>27</v>
      </c>
      <c r="K50" s="16" t="s">
        <v>36</v>
      </c>
      <c r="L50" s="16" t="s">
        <v>28</v>
      </c>
      <c r="M50" s="17">
        <v>44471</v>
      </c>
      <c r="N50" s="16">
        <v>179.98</v>
      </c>
      <c r="O50" s="45">
        <v>2</v>
      </c>
      <c r="P50" s="46">
        <f t="shared" ca="1" si="0"/>
        <v>46008.502499305556</v>
      </c>
      <c r="Q50" s="45" t="str">
        <f t="shared" si="1"/>
        <v>PM</v>
      </c>
      <c r="R50" s="45" t="str">
        <v>CUST037</v>
      </c>
      <c r="S50" s="45">
        <v>1559.94</v>
      </c>
    </row>
    <row r="51" spans="1:19" ht="15.75" customHeight="1" x14ac:dyDescent="0.3">
      <c r="A51" s="16" t="s">
        <v>167</v>
      </c>
      <c r="B51" s="17">
        <v>45459</v>
      </c>
      <c r="C51" s="16" t="s">
        <v>16</v>
      </c>
      <c r="D51" s="16" t="s">
        <v>17</v>
      </c>
      <c r="E51" s="16" t="s">
        <v>62</v>
      </c>
      <c r="F51" s="16" t="s">
        <v>63</v>
      </c>
      <c r="G51" s="16" t="s">
        <v>20</v>
      </c>
      <c r="H51" s="16">
        <v>5</v>
      </c>
      <c r="I51" s="16">
        <v>899.99</v>
      </c>
      <c r="J51" s="16" t="s">
        <v>27</v>
      </c>
      <c r="K51" s="16" t="s">
        <v>36</v>
      </c>
      <c r="L51" s="16" t="s">
        <v>37</v>
      </c>
      <c r="M51" s="17">
        <v>44974</v>
      </c>
      <c r="N51" s="16">
        <v>4499.95</v>
      </c>
      <c r="O51" s="45">
        <v>1</v>
      </c>
      <c r="P51" s="46">
        <f t="shared" ca="1" si="0"/>
        <v>46008.502499305556</v>
      </c>
      <c r="Q51" s="45" t="str">
        <f t="shared" si="1"/>
        <v>PB</v>
      </c>
      <c r="R51" s="45" t="str">
        <v>CUST001</v>
      </c>
      <c r="S51" s="45">
        <v>599.96</v>
      </c>
    </row>
    <row r="52" spans="1:19" ht="15.75" customHeight="1" x14ac:dyDescent="0.3">
      <c r="A52" s="16" t="s">
        <v>168</v>
      </c>
      <c r="B52" s="17">
        <v>45459</v>
      </c>
      <c r="C52" s="16" t="s">
        <v>124</v>
      </c>
      <c r="D52" s="16" t="s">
        <v>125</v>
      </c>
      <c r="E52" s="16" t="s">
        <v>62</v>
      </c>
      <c r="F52" s="16" t="s">
        <v>63</v>
      </c>
      <c r="G52" s="16" t="s">
        <v>20</v>
      </c>
      <c r="H52" s="16">
        <v>5</v>
      </c>
      <c r="I52" s="16">
        <v>899.99</v>
      </c>
      <c r="J52" s="16" t="s">
        <v>35</v>
      </c>
      <c r="K52" s="16" t="s">
        <v>64</v>
      </c>
      <c r="L52" s="16" t="s">
        <v>28</v>
      </c>
      <c r="M52" s="17">
        <v>45278</v>
      </c>
      <c r="N52" s="16">
        <v>4499.95</v>
      </c>
      <c r="O52" s="45">
        <v>0</v>
      </c>
      <c r="P52" s="46">
        <f t="shared" ca="1" si="0"/>
        <v>46008.502499305556</v>
      </c>
      <c r="Q52" s="45" t="str">
        <f t="shared" si="1"/>
        <v>EM</v>
      </c>
      <c r="R52" s="45"/>
      <c r="S52" s="45"/>
    </row>
    <row r="53" spans="1:19" ht="15.75" customHeight="1" x14ac:dyDescent="0.3">
      <c r="A53" s="16" t="s">
        <v>169</v>
      </c>
      <c r="B53" s="17">
        <v>45460</v>
      </c>
      <c r="C53" s="19" t="s">
        <v>159</v>
      </c>
      <c r="D53" s="16" t="s">
        <v>160</v>
      </c>
      <c r="E53" s="16" t="s">
        <v>32</v>
      </c>
      <c r="F53" s="16" t="s">
        <v>33</v>
      </c>
      <c r="G53" s="16" t="s">
        <v>34</v>
      </c>
      <c r="H53" s="16">
        <v>1</v>
      </c>
      <c r="I53" s="16">
        <v>59.99</v>
      </c>
      <c r="J53" s="16" t="s">
        <v>58</v>
      </c>
      <c r="K53" s="16" t="s">
        <v>51</v>
      </c>
      <c r="L53" s="16" t="s">
        <v>28</v>
      </c>
      <c r="M53" s="17">
        <v>45190</v>
      </c>
      <c r="N53" s="16">
        <v>59.99</v>
      </c>
      <c r="O53" s="45">
        <v>0</v>
      </c>
      <c r="P53" s="46">
        <f t="shared" ca="1" si="0"/>
        <v>46008.502499305556</v>
      </c>
      <c r="Q53" s="45" t="str">
        <f t="shared" si="1"/>
        <v>BC</v>
      </c>
      <c r="R53" s="45"/>
      <c r="S53" s="45"/>
    </row>
    <row r="54" spans="1:19" ht="15.75" customHeight="1" x14ac:dyDescent="0.3">
      <c r="A54" s="16" t="s">
        <v>170</v>
      </c>
      <c r="B54" s="17">
        <v>45460</v>
      </c>
      <c r="C54" s="16" t="s">
        <v>142</v>
      </c>
      <c r="D54" s="16" t="s">
        <v>143</v>
      </c>
      <c r="E54" s="16" t="s">
        <v>106</v>
      </c>
      <c r="F54" s="16" t="s">
        <v>107</v>
      </c>
      <c r="G54" s="16" t="s">
        <v>47</v>
      </c>
      <c r="H54" s="16">
        <v>2</v>
      </c>
      <c r="I54" s="16">
        <v>299.99</v>
      </c>
      <c r="J54" s="16" t="s">
        <v>58</v>
      </c>
      <c r="K54" s="16" t="s">
        <v>64</v>
      </c>
      <c r="L54" s="16" t="s">
        <v>37</v>
      </c>
      <c r="M54" s="17">
        <v>45253</v>
      </c>
      <c r="N54" s="16">
        <v>599.98</v>
      </c>
      <c r="O54" s="45">
        <v>0</v>
      </c>
      <c r="P54" s="46">
        <f t="shared" ca="1" si="0"/>
        <v>46008.502499305556</v>
      </c>
      <c r="Q54" s="45" t="str">
        <f t="shared" si="1"/>
        <v>JT</v>
      </c>
      <c r="R54" s="45"/>
      <c r="S54" s="45"/>
    </row>
    <row r="55" spans="1:19" ht="15.75" customHeight="1" x14ac:dyDescent="0.3">
      <c r="A55" s="16" t="s">
        <v>171</v>
      </c>
      <c r="B55" s="17">
        <v>45468</v>
      </c>
      <c r="C55" s="16" t="s">
        <v>172</v>
      </c>
      <c r="D55" s="16" t="s">
        <v>173</v>
      </c>
      <c r="E55" s="16" t="s">
        <v>118</v>
      </c>
      <c r="F55" s="16" t="s">
        <v>119</v>
      </c>
      <c r="G55" s="16" t="s">
        <v>20</v>
      </c>
      <c r="H55" s="16">
        <v>4</v>
      </c>
      <c r="I55" s="16">
        <v>89.99</v>
      </c>
      <c r="J55" s="16" t="s">
        <v>58</v>
      </c>
      <c r="K55" s="16" t="s">
        <v>36</v>
      </c>
      <c r="L55" s="16" t="s">
        <v>23</v>
      </c>
      <c r="M55" s="17">
        <v>45281</v>
      </c>
      <c r="N55" s="16">
        <v>359.96</v>
      </c>
      <c r="O55" s="45">
        <v>0</v>
      </c>
      <c r="P55" s="46">
        <f t="shared" ca="1" si="0"/>
        <v>46008.502499305556</v>
      </c>
      <c r="Q55" s="45" t="str">
        <f t="shared" si="1"/>
        <v>RR</v>
      </c>
      <c r="R55" s="45"/>
      <c r="S55" s="45"/>
    </row>
    <row r="56" spans="1:19" ht="15.75" customHeight="1" x14ac:dyDescent="0.3">
      <c r="A56" s="16" t="s">
        <v>174</v>
      </c>
      <c r="B56" s="17">
        <v>45469</v>
      </c>
      <c r="C56" s="16" t="s">
        <v>30</v>
      </c>
      <c r="D56" s="16" t="s">
        <v>31</v>
      </c>
      <c r="E56" s="16" t="s">
        <v>115</v>
      </c>
      <c r="F56" s="16" t="s">
        <v>116</v>
      </c>
      <c r="G56" s="16" t="s">
        <v>34</v>
      </c>
      <c r="H56" s="16">
        <v>1</v>
      </c>
      <c r="I56" s="16">
        <v>79.989999999999995</v>
      </c>
      <c r="J56" s="16" t="s">
        <v>35</v>
      </c>
      <c r="K56" s="16" t="s">
        <v>22</v>
      </c>
      <c r="L56" s="16" t="s">
        <v>28</v>
      </c>
      <c r="M56" s="17">
        <v>45352</v>
      </c>
      <c r="N56" s="16">
        <v>79.989999999999995</v>
      </c>
      <c r="O56" s="45">
        <v>0</v>
      </c>
      <c r="P56" s="46">
        <f t="shared" ca="1" si="0"/>
        <v>46008.502499305556</v>
      </c>
      <c r="Q56" s="45" t="str">
        <f t="shared" si="1"/>
        <v>KS</v>
      </c>
      <c r="R56" s="45"/>
      <c r="S56" s="45"/>
    </row>
    <row r="57" spans="1:19" ht="15.75" customHeight="1" x14ac:dyDescent="0.3">
      <c r="A57" s="16" t="s">
        <v>175</v>
      </c>
      <c r="B57" s="17">
        <v>45469</v>
      </c>
      <c r="C57" s="16" t="s">
        <v>60</v>
      </c>
      <c r="D57" s="16" t="s">
        <v>61</v>
      </c>
      <c r="E57" s="16" t="s">
        <v>118</v>
      </c>
      <c r="F57" s="16" t="s">
        <v>119</v>
      </c>
      <c r="G57" s="16" t="s">
        <v>20</v>
      </c>
      <c r="H57" s="16">
        <v>2</v>
      </c>
      <c r="I57" s="16">
        <v>89.99</v>
      </c>
      <c r="J57" s="16" t="s">
        <v>21</v>
      </c>
      <c r="K57" s="16" t="s">
        <v>51</v>
      </c>
      <c r="L57" s="16" t="s">
        <v>23</v>
      </c>
      <c r="M57" s="17">
        <v>44438</v>
      </c>
      <c r="N57" s="16">
        <v>179.98</v>
      </c>
      <c r="O57" s="45">
        <v>2</v>
      </c>
      <c r="P57" s="46">
        <f t="shared" ca="1" si="0"/>
        <v>46008.502499305556</v>
      </c>
      <c r="Q57" s="45" t="str">
        <f t="shared" si="1"/>
        <v>RT</v>
      </c>
      <c r="R57" s="45"/>
      <c r="S57" s="45"/>
    </row>
    <row r="58" spans="1:19" ht="15.75" customHeight="1" x14ac:dyDescent="0.3">
      <c r="A58" s="16" t="s">
        <v>176</v>
      </c>
      <c r="B58" s="17">
        <v>45471</v>
      </c>
      <c r="C58" s="16" t="s">
        <v>39</v>
      </c>
      <c r="D58" s="16" t="s">
        <v>40</v>
      </c>
      <c r="E58" s="16" t="s">
        <v>81</v>
      </c>
      <c r="F58" s="16" t="s">
        <v>82</v>
      </c>
      <c r="G58" s="16" t="s">
        <v>20</v>
      </c>
      <c r="H58" s="16">
        <v>3</v>
      </c>
      <c r="I58" s="16">
        <v>699.99</v>
      </c>
      <c r="J58" s="16" t="s">
        <v>27</v>
      </c>
      <c r="K58" s="16" t="s">
        <v>64</v>
      </c>
      <c r="L58" s="16" t="s">
        <v>28</v>
      </c>
      <c r="M58" s="17">
        <v>45102</v>
      </c>
      <c r="N58" s="16">
        <v>2099.9699999999998</v>
      </c>
      <c r="O58" s="45">
        <v>1</v>
      </c>
      <c r="P58" s="46">
        <f t="shared" ca="1" si="0"/>
        <v>46008.502499305556</v>
      </c>
      <c r="Q58" s="45" t="str">
        <f t="shared" si="1"/>
        <v>KB</v>
      </c>
      <c r="R58" s="45"/>
      <c r="S58" s="45"/>
    </row>
    <row r="59" spans="1:19" ht="15.75" customHeight="1" x14ac:dyDescent="0.3">
      <c r="A59" s="16" t="s">
        <v>177</v>
      </c>
      <c r="B59" s="17">
        <v>45471</v>
      </c>
      <c r="C59" s="16" t="s">
        <v>100</v>
      </c>
      <c r="D59" s="16" t="s">
        <v>101</v>
      </c>
      <c r="E59" s="16" t="s">
        <v>62</v>
      </c>
      <c r="F59" s="16" t="s">
        <v>63</v>
      </c>
      <c r="G59" s="16" t="s">
        <v>20</v>
      </c>
      <c r="H59" s="16">
        <v>4</v>
      </c>
      <c r="I59" s="16">
        <v>899.99</v>
      </c>
      <c r="J59" s="16" t="s">
        <v>27</v>
      </c>
      <c r="K59" s="16" t="s">
        <v>64</v>
      </c>
      <c r="L59" s="16" t="s">
        <v>28</v>
      </c>
      <c r="M59" s="17">
        <v>44993</v>
      </c>
      <c r="N59" s="16">
        <v>3599.96</v>
      </c>
      <c r="O59" s="45">
        <v>1</v>
      </c>
      <c r="P59" s="46">
        <f t="shared" ca="1" si="0"/>
        <v>46008.502499305556</v>
      </c>
      <c r="Q59" s="45" t="str">
        <f t="shared" si="1"/>
        <v>PM</v>
      </c>
      <c r="R59" s="45"/>
      <c r="S59" s="45"/>
    </row>
    <row r="60" spans="1:19" ht="15.75" customHeight="1" x14ac:dyDescent="0.3">
      <c r="A60" s="16" t="s">
        <v>178</v>
      </c>
      <c r="B60" s="17">
        <v>45472</v>
      </c>
      <c r="C60" s="16" t="s">
        <v>121</v>
      </c>
      <c r="D60" s="16" t="s">
        <v>122</v>
      </c>
      <c r="E60" s="16" t="s">
        <v>45</v>
      </c>
      <c r="F60" s="16" t="s">
        <v>46</v>
      </c>
      <c r="G60" s="16" t="s">
        <v>47</v>
      </c>
      <c r="H60" s="16">
        <v>1</v>
      </c>
      <c r="I60" s="16">
        <v>149.99</v>
      </c>
      <c r="J60" s="16" t="s">
        <v>35</v>
      </c>
      <c r="K60" s="16" t="s">
        <v>64</v>
      </c>
      <c r="L60" s="16" t="s">
        <v>23</v>
      </c>
      <c r="M60" s="17">
        <v>44851</v>
      </c>
      <c r="N60" s="16">
        <v>149.99</v>
      </c>
      <c r="O60" s="45">
        <v>1</v>
      </c>
      <c r="P60" s="46">
        <f t="shared" ca="1" si="0"/>
        <v>46008.502499305556</v>
      </c>
      <c r="Q60" s="45" t="str">
        <f t="shared" si="1"/>
        <v>HR</v>
      </c>
      <c r="R60" s="45"/>
      <c r="S60" s="45"/>
    </row>
    <row r="61" spans="1:19" ht="15.75" customHeight="1" x14ac:dyDescent="0.3">
      <c r="A61" s="16" t="s">
        <v>179</v>
      </c>
      <c r="B61" s="17">
        <v>45474</v>
      </c>
      <c r="C61" s="16" t="s">
        <v>133</v>
      </c>
      <c r="D61" s="16" t="s">
        <v>134</v>
      </c>
      <c r="E61" s="16" t="s">
        <v>118</v>
      </c>
      <c r="F61" s="16" t="s">
        <v>119</v>
      </c>
      <c r="G61" s="16" t="s">
        <v>20</v>
      </c>
      <c r="H61" s="16">
        <v>2</v>
      </c>
      <c r="I61" s="16">
        <v>89.99</v>
      </c>
      <c r="J61" s="16" t="s">
        <v>35</v>
      </c>
      <c r="K61" s="16" t="s">
        <v>22</v>
      </c>
      <c r="L61" s="16" t="s">
        <v>28</v>
      </c>
      <c r="M61" s="17">
        <v>45275</v>
      </c>
      <c r="N61" s="16">
        <v>179.98</v>
      </c>
      <c r="O61" s="45">
        <v>0</v>
      </c>
      <c r="P61" s="46">
        <f t="shared" ca="1" si="0"/>
        <v>46008.502499305556</v>
      </c>
      <c r="Q61" s="45" t="str">
        <f t="shared" si="1"/>
        <v>EW</v>
      </c>
      <c r="R61" s="45"/>
      <c r="S61" s="45"/>
    </row>
    <row r="62" spans="1:19" ht="15.75" customHeight="1" x14ac:dyDescent="0.3">
      <c r="A62" s="16" t="s">
        <v>180</v>
      </c>
      <c r="B62" s="17">
        <v>45475</v>
      </c>
      <c r="C62" s="16" t="s">
        <v>56</v>
      </c>
      <c r="D62" s="16" t="s">
        <v>57</v>
      </c>
      <c r="E62" s="16" t="s">
        <v>118</v>
      </c>
      <c r="F62" s="16" t="s">
        <v>119</v>
      </c>
      <c r="G62" s="16" t="s">
        <v>20</v>
      </c>
      <c r="H62" s="16">
        <v>1</v>
      </c>
      <c r="I62" s="16">
        <v>89.99</v>
      </c>
      <c r="J62" s="16" t="s">
        <v>35</v>
      </c>
      <c r="K62" s="16" t="s">
        <v>51</v>
      </c>
      <c r="L62" s="16" t="s">
        <v>37</v>
      </c>
      <c r="M62" s="17">
        <v>44802</v>
      </c>
      <c r="N62" s="16">
        <v>89.99</v>
      </c>
      <c r="O62" s="45">
        <v>1</v>
      </c>
      <c r="P62" s="46">
        <f t="shared" ca="1" si="0"/>
        <v>46008.502499305556</v>
      </c>
      <c r="Q62" s="45" t="str">
        <f t="shared" si="1"/>
        <v>CA</v>
      </c>
      <c r="R62" s="45"/>
      <c r="S62" s="45"/>
    </row>
    <row r="63" spans="1:19" ht="15.75" customHeight="1" x14ac:dyDescent="0.3">
      <c r="A63" s="16" t="s">
        <v>181</v>
      </c>
      <c r="B63" s="17">
        <v>45476</v>
      </c>
      <c r="C63" s="16" t="s">
        <v>69</v>
      </c>
      <c r="D63" s="16" t="s">
        <v>70</v>
      </c>
      <c r="E63" s="16" t="s">
        <v>118</v>
      </c>
      <c r="F63" s="16" t="s">
        <v>119</v>
      </c>
      <c r="G63" s="16" t="s">
        <v>20</v>
      </c>
      <c r="H63" s="16">
        <v>1</v>
      </c>
      <c r="I63" s="16">
        <v>89.99</v>
      </c>
      <c r="J63" s="16" t="s">
        <v>21</v>
      </c>
      <c r="K63" s="16" t="s">
        <v>36</v>
      </c>
      <c r="L63" s="16" t="s">
        <v>37</v>
      </c>
      <c r="M63" s="17">
        <v>44611</v>
      </c>
      <c r="N63" s="16">
        <v>89.99</v>
      </c>
      <c r="O63" s="45">
        <v>2</v>
      </c>
      <c r="P63" s="46">
        <f t="shared" ca="1" si="0"/>
        <v>46008.502499305556</v>
      </c>
      <c r="Q63" s="45" t="str">
        <f t="shared" si="1"/>
        <v>SG</v>
      </c>
      <c r="R63" s="45"/>
      <c r="S63" s="45"/>
    </row>
    <row r="64" spans="1:19" ht="15.75" customHeight="1" x14ac:dyDescent="0.3">
      <c r="A64" s="16" t="s">
        <v>182</v>
      </c>
      <c r="B64" s="17">
        <v>45476</v>
      </c>
      <c r="C64" s="16" t="s">
        <v>183</v>
      </c>
      <c r="D64" s="16" t="s">
        <v>184</v>
      </c>
      <c r="E64" s="16" t="s">
        <v>115</v>
      </c>
      <c r="F64" s="16" t="s">
        <v>116</v>
      </c>
      <c r="G64" s="16" t="s">
        <v>34</v>
      </c>
      <c r="H64" s="16">
        <v>5</v>
      </c>
      <c r="I64" s="16">
        <v>79.989999999999995</v>
      </c>
      <c r="J64" s="16" t="s">
        <v>58</v>
      </c>
      <c r="K64" s="16" t="s">
        <v>22</v>
      </c>
      <c r="L64" s="16" t="s">
        <v>23</v>
      </c>
      <c r="M64" s="17">
        <v>44981</v>
      </c>
      <c r="N64" s="16">
        <v>399.95</v>
      </c>
      <c r="O64" s="45">
        <v>1</v>
      </c>
      <c r="P64" s="46">
        <f t="shared" ca="1" si="0"/>
        <v>46008.502499305556</v>
      </c>
      <c r="Q64" s="45" t="str">
        <f t="shared" si="1"/>
        <v>DM</v>
      </c>
      <c r="R64" s="45"/>
      <c r="S64" s="45"/>
    </row>
    <row r="65" spans="1:19" ht="15.75" customHeight="1" x14ac:dyDescent="0.3">
      <c r="A65" s="16" t="s">
        <v>185</v>
      </c>
      <c r="B65" s="17">
        <v>45481</v>
      </c>
      <c r="C65" s="16" t="s">
        <v>186</v>
      </c>
      <c r="D65" s="16" t="s">
        <v>187</v>
      </c>
      <c r="E65" s="16" t="s">
        <v>45</v>
      </c>
      <c r="F65" s="16" t="s">
        <v>46</v>
      </c>
      <c r="G65" s="16" t="s">
        <v>47</v>
      </c>
      <c r="H65" s="16">
        <v>1</v>
      </c>
      <c r="I65" s="16">
        <v>149.99</v>
      </c>
      <c r="J65" s="16" t="s">
        <v>35</v>
      </c>
      <c r="K65" s="16" t="s">
        <v>41</v>
      </c>
      <c r="L65" s="16" t="s">
        <v>23</v>
      </c>
      <c r="M65" s="17">
        <v>44421</v>
      </c>
      <c r="N65" s="16">
        <v>149.99</v>
      </c>
      <c r="O65" s="45">
        <v>2</v>
      </c>
      <c r="P65" s="46">
        <f t="shared" ca="1" si="0"/>
        <v>46008.502499305556</v>
      </c>
      <c r="Q65" s="45" t="str">
        <f t="shared" si="1"/>
        <v>MW</v>
      </c>
      <c r="R65" s="45"/>
      <c r="S65" s="45"/>
    </row>
    <row r="66" spans="1:19" ht="15.75" customHeight="1" x14ac:dyDescent="0.3">
      <c r="A66" s="16" t="s">
        <v>188</v>
      </c>
      <c r="B66" s="17">
        <v>45481</v>
      </c>
      <c r="C66" s="16" t="s">
        <v>43</v>
      </c>
      <c r="D66" s="16" t="s">
        <v>44</v>
      </c>
      <c r="E66" s="16" t="s">
        <v>81</v>
      </c>
      <c r="F66" s="16" t="s">
        <v>82</v>
      </c>
      <c r="G66" s="16" t="s">
        <v>20</v>
      </c>
      <c r="H66" s="16">
        <v>2</v>
      </c>
      <c r="I66" s="16">
        <v>699.99</v>
      </c>
      <c r="J66" s="16" t="s">
        <v>35</v>
      </c>
      <c r="K66" s="16" t="s">
        <v>64</v>
      </c>
      <c r="L66" s="16" t="s">
        <v>28</v>
      </c>
      <c r="M66" s="17">
        <v>45389</v>
      </c>
      <c r="N66" s="16">
        <v>1399.98</v>
      </c>
      <c r="O66" s="45">
        <v>0</v>
      </c>
      <c r="P66" s="46">
        <f t="shared" ca="1" si="0"/>
        <v>46008.502499305556</v>
      </c>
      <c r="Q66" s="45" t="str">
        <f t="shared" si="1"/>
        <v>MB</v>
      </c>
      <c r="R66" s="45"/>
      <c r="S66" s="45"/>
    </row>
    <row r="67" spans="1:19" ht="15.75" customHeight="1" x14ac:dyDescent="0.3">
      <c r="A67" s="16" t="s">
        <v>189</v>
      </c>
      <c r="B67" s="17">
        <v>45481</v>
      </c>
      <c r="C67" s="16" t="s">
        <v>97</v>
      </c>
      <c r="D67" s="16" t="s">
        <v>98</v>
      </c>
      <c r="E67" s="16" t="s">
        <v>118</v>
      </c>
      <c r="F67" s="16" t="s">
        <v>119</v>
      </c>
      <c r="G67" s="16" t="s">
        <v>20</v>
      </c>
      <c r="H67" s="16">
        <v>5</v>
      </c>
      <c r="I67" s="16">
        <v>89.99</v>
      </c>
      <c r="J67" s="16" t="s">
        <v>58</v>
      </c>
      <c r="K67" s="16" t="s">
        <v>41</v>
      </c>
      <c r="L67" s="16" t="s">
        <v>28</v>
      </c>
      <c r="M67" s="17">
        <v>45161</v>
      </c>
      <c r="N67" s="16">
        <v>449.95</v>
      </c>
      <c r="O67" s="45">
        <v>0</v>
      </c>
      <c r="P67" s="46">
        <f t="shared" ref="P67:P130" ca="1" si="3">NOW()</f>
        <v>46008.502499305556</v>
      </c>
      <c r="Q67" s="45" t="str">
        <f t="shared" ref="Q67:Q130" si="4">IFERROR(CONCATENATE(LEFT(D67, 1), MID(D67, FIND(" ", D67) + 1, 1)), LEFT(D67, 2))</f>
        <v>BY</v>
      </c>
      <c r="R67" s="45"/>
      <c r="S67" s="45"/>
    </row>
    <row r="68" spans="1:19" ht="15.75" customHeight="1" x14ac:dyDescent="0.3">
      <c r="A68" s="16" t="s">
        <v>190</v>
      </c>
      <c r="B68" s="17">
        <v>45482</v>
      </c>
      <c r="C68" s="16" t="s">
        <v>172</v>
      </c>
      <c r="D68" s="16" t="s">
        <v>173</v>
      </c>
      <c r="E68" s="16" t="s">
        <v>32</v>
      </c>
      <c r="F68" s="16" t="s">
        <v>33</v>
      </c>
      <c r="G68" s="16" t="s">
        <v>34</v>
      </c>
      <c r="H68" s="16">
        <v>4</v>
      </c>
      <c r="I68" s="16">
        <v>59.99</v>
      </c>
      <c r="J68" s="16" t="s">
        <v>21</v>
      </c>
      <c r="K68" s="16" t="s">
        <v>36</v>
      </c>
      <c r="L68" s="16" t="s">
        <v>37</v>
      </c>
      <c r="M68" s="17">
        <v>44509</v>
      </c>
      <c r="N68" s="16">
        <v>239.96</v>
      </c>
      <c r="O68" s="45">
        <v>2</v>
      </c>
      <c r="P68" s="46">
        <f t="shared" ca="1" si="3"/>
        <v>46008.502499305556</v>
      </c>
      <c r="Q68" s="45" t="str">
        <f t="shared" si="4"/>
        <v>RR</v>
      </c>
      <c r="R68" s="45"/>
      <c r="S68" s="45"/>
    </row>
    <row r="69" spans="1:19" ht="15.75" customHeight="1" x14ac:dyDescent="0.3">
      <c r="A69" s="16" t="s">
        <v>191</v>
      </c>
      <c r="B69" s="17">
        <v>45484</v>
      </c>
      <c r="C69" s="16" t="s">
        <v>25</v>
      </c>
      <c r="D69" s="16" t="s">
        <v>26</v>
      </c>
      <c r="E69" s="16" t="s">
        <v>53</v>
      </c>
      <c r="F69" s="16" t="s">
        <v>54</v>
      </c>
      <c r="G69" s="16" t="s">
        <v>20</v>
      </c>
      <c r="H69" s="16">
        <v>1</v>
      </c>
      <c r="I69" s="16">
        <v>149.99</v>
      </c>
      <c r="J69" s="16" t="s">
        <v>21</v>
      </c>
      <c r="K69" s="16" t="s">
        <v>22</v>
      </c>
      <c r="L69" s="16" t="s">
        <v>37</v>
      </c>
      <c r="M69" s="17">
        <v>44909</v>
      </c>
      <c r="N69" s="16">
        <v>149.99</v>
      </c>
      <c r="O69" s="45">
        <v>1</v>
      </c>
      <c r="P69" s="46">
        <f t="shared" ca="1" si="3"/>
        <v>46008.502499305556</v>
      </c>
      <c r="Q69" s="45" t="str">
        <f t="shared" si="4"/>
        <v>JJ</v>
      </c>
      <c r="R69" s="45"/>
      <c r="S69" s="45"/>
    </row>
    <row r="70" spans="1:19" ht="15.75" customHeight="1" x14ac:dyDescent="0.3">
      <c r="A70" s="16" t="s">
        <v>192</v>
      </c>
      <c r="B70" s="17">
        <v>45484</v>
      </c>
      <c r="C70" s="16" t="s">
        <v>193</v>
      </c>
      <c r="D70" s="16" t="s">
        <v>194</v>
      </c>
      <c r="E70" s="16" t="s">
        <v>106</v>
      </c>
      <c r="F70" s="16" t="s">
        <v>107</v>
      </c>
      <c r="G70" s="16" t="s">
        <v>47</v>
      </c>
      <c r="H70" s="16">
        <v>1</v>
      </c>
      <c r="I70" s="16">
        <v>299.99</v>
      </c>
      <c r="J70" s="16" t="s">
        <v>27</v>
      </c>
      <c r="K70" s="16" t="s">
        <v>41</v>
      </c>
      <c r="L70" s="16" t="s">
        <v>28</v>
      </c>
      <c r="M70" s="17">
        <v>44891</v>
      </c>
      <c r="N70" s="16">
        <v>299.99</v>
      </c>
      <c r="O70" s="45">
        <v>1</v>
      </c>
      <c r="P70" s="46">
        <f t="shared" ca="1" si="3"/>
        <v>46008.502499305556</v>
      </c>
      <c r="Q70" s="45" t="str">
        <f t="shared" si="4"/>
        <v>FT</v>
      </c>
      <c r="R70" s="45"/>
      <c r="S70" s="45"/>
    </row>
    <row r="71" spans="1:19" ht="15.75" customHeight="1" x14ac:dyDescent="0.3">
      <c r="A71" s="16" t="s">
        <v>195</v>
      </c>
      <c r="B71" s="17">
        <v>45487</v>
      </c>
      <c r="C71" s="16" t="s">
        <v>193</v>
      </c>
      <c r="D71" s="16" t="s">
        <v>194</v>
      </c>
      <c r="E71" s="16" t="s">
        <v>127</v>
      </c>
      <c r="F71" s="16" t="s">
        <v>128</v>
      </c>
      <c r="G71" s="16" t="s">
        <v>47</v>
      </c>
      <c r="H71" s="16">
        <v>2</v>
      </c>
      <c r="I71" s="16">
        <v>199.99</v>
      </c>
      <c r="J71" s="16" t="s">
        <v>21</v>
      </c>
      <c r="K71" s="16" t="s">
        <v>41</v>
      </c>
      <c r="L71" s="16" t="s">
        <v>23</v>
      </c>
      <c r="M71" s="17">
        <v>44541</v>
      </c>
      <c r="N71" s="16">
        <v>399.98</v>
      </c>
      <c r="O71" s="45">
        <v>2</v>
      </c>
      <c r="P71" s="46">
        <f t="shared" ca="1" si="3"/>
        <v>46008.502499305556</v>
      </c>
      <c r="Q71" s="45" t="str">
        <f t="shared" si="4"/>
        <v>FT</v>
      </c>
      <c r="R71" s="45"/>
      <c r="S71" s="45"/>
    </row>
    <row r="72" spans="1:19" ht="15.75" customHeight="1" x14ac:dyDescent="0.3">
      <c r="A72" s="16" t="s">
        <v>196</v>
      </c>
      <c r="B72" s="17">
        <v>45490</v>
      </c>
      <c r="C72" s="16" t="s">
        <v>197</v>
      </c>
      <c r="D72" s="16" t="s">
        <v>198</v>
      </c>
      <c r="E72" s="16" t="s">
        <v>32</v>
      </c>
      <c r="F72" s="16" t="s">
        <v>33</v>
      </c>
      <c r="G72" s="16" t="s">
        <v>34</v>
      </c>
      <c r="H72" s="16">
        <v>3</v>
      </c>
      <c r="I72" s="16">
        <v>59.99</v>
      </c>
      <c r="J72" s="16" t="s">
        <v>27</v>
      </c>
      <c r="K72" s="16" t="s">
        <v>51</v>
      </c>
      <c r="L72" s="16" t="s">
        <v>23</v>
      </c>
      <c r="M72" s="17">
        <v>45130</v>
      </c>
      <c r="N72" s="16">
        <v>179.97</v>
      </c>
      <c r="O72" s="45">
        <v>0</v>
      </c>
      <c r="P72" s="46">
        <f t="shared" ca="1" si="3"/>
        <v>46008.502499305556</v>
      </c>
      <c r="Q72" s="45" t="str">
        <f t="shared" si="4"/>
        <v>GM</v>
      </c>
      <c r="R72" s="45"/>
      <c r="S72" s="45"/>
    </row>
    <row r="73" spans="1:19" ht="15.75" customHeight="1" x14ac:dyDescent="0.3">
      <c r="A73" s="16" t="s">
        <v>199</v>
      </c>
      <c r="B73" s="17">
        <v>45490</v>
      </c>
      <c r="C73" s="16" t="s">
        <v>73</v>
      </c>
      <c r="D73" s="16" t="s">
        <v>74</v>
      </c>
      <c r="E73" s="16" t="s">
        <v>45</v>
      </c>
      <c r="F73" s="16" t="s">
        <v>46</v>
      </c>
      <c r="G73" s="16" t="s">
        <v>47</v>
      </c>
      <c r="H73" s="16">
        <v>3</v>
      </c>
      <c r="I73" s="16">
        <v>149.99</v>
      </c>
      <c r="J73" s="16" t="s">
        <v>21</v>
      </c>
      <c r="K73" s="16" t="s">
        <v>22</v>
      </c>
      <c r="L73" s="16" t="s">
        <v>28</v>
      </c>
      <c r="M73" s="17">
        <v>45199</v>
      </c>
      <c r="N73" s="16">
        <v>449.97</v>
      </c>
      <c r="O73" s="45">
        <v>0</v>
      </c>
      <c r="P73" s="46">
        <f t="shared" ca="1" si="3"/>
        <v>46008.502499305556</v>
      </c>
      <c r="Q73" s="45" t="str">
        <f t="shared" si="4"/>
        <v>PR</v>
      </c>
      <c r="R73" s="45"/>
      <c r="S73" s="45"/>
    </row>
    <row r="74" spans="1:19" ht="15.75" customHeight="1" x14ac:dyDescent="0.3">
      <c r="A74" s="16" t="s">
        <v>200</v>
      </c>
      <c r="B74" s="17">
        <v>45491</v>
      </c>
      <c r="C74" s="16" t="s">
        <v>66</v>
      </c>
      <c r="D74" s="16" t="s">
        <v>67</v>
      </c>
      <c r="E74" s="16" t="s">
        <v>127</v>
      </c>
      <c r="F74" s="16" t="s">
        <v>128</v>
      </c>
      <c r="G74" s="16" t="s">
        <v>47</v>
      </c>
      <c r="H74" s="16">
        <v>3</v>
      </c>
      <c r="I74" s="16">
        <v>199.99</v>
      </c>
      <c r="J74" s="16" t="s">
        <v>21</v>
      </c>
      <c r="K74" s="16" t="s">
        <v>41</v>
      </c>
      <c r="L74" s="16" t="s">
        <v>28</v>
      </c>
      <c r="M74" s="17">
        <v>45254</v>
      </c>
      <c r="N74" s="16">
        <v>599.97</v>
      </c>
      <c r="O74" s="45">
        <v>0</v>
      </c>
      <c r="P74" s="46">
        <f t="shared" ca="1" si="3"/>
        <v>46008.502499305556</v>
      </c>
      <c r="Q74" s="45" t="str">
        <f t="shared" si="4"/>
        <v>KH</v>
      </c>
      <c r="R74" s="45"/>
      <c r="S74" s="45"/>
    </row>
    <row r="75" spans="1:19" ht="15.75" customHeight="1" x14ac:dyDescent="0.3">
      <c r="A75" s="16" t="s">
        <v>201</v>
      </c>
      <c r="B75" s="17">
        <v>45496</v>
      </c>
      <c r="C75" s="16" t="s">
        <v>151</v>
      </c>
      <c r="D75" s="16" t="s">
        <v>152</v>
      </c>
      <c r="E75" s="16" t="s">
        <v>62</v>
      </c>
      <c r="F75" s="16" t="s">
        <v>63</v>
      </c>
      <c r="G75" s="16" t="s">
        <v>20</v>
      </c>
      <c r="H75" s="16">
        <v>1</v>
      </c>
      <c r="I75" s="16">
        <v>899.99</v>
      </c>
      <c r="J75" s="16" t="s">
        <v>21</v>
      </c>
      <c r="K75" s="16" t="s">
        <v>22</v>
      </c>
      <c r="L75" s="16" t="s">
        <v>37</v>
      </c>
      <c r="M75" s="17">
        <v>45179</v>
      </c>
      <c r="N75" s="16">
        <v>899.99</v>
      </c>
      <c r="O75" s="45">
        <v>0</v>
      </c>
      <c r="P75" s="46">
        <f t="shared" ca="1" si="3"/>
        <v>46008.502499305556</v>
      </c>
      <c r="Q75" s="45" t="str">
        <f t="shared" si="4"/>
        <v>SB</v>
      </c>
      <c r="R75" s="45"/>
      <c r="S75" s="45"/>
    </row>
    <row r="76" spans="1:19" ht="15.75" customHeight="1" x14ac:dyDescent="0.3">
      <c r="A76" s="16" t="s">
        <v>202</v>
      </c>
      <c r="B76" s="17">
        <v>45497</v>
      </c>
      <c r="C76" s="16" t="s">
        <v>25</v>
      </c>
      <c r="D76" s="16" t="s">
        <v>26</v>
      </c>
      <c r="E76" s="16" t="s">
        <v>62</v>
      </c>
      <c r="F76" s="16" t="s">
        <v>63</v>
      </c>
      <c r="G76" s="16" t="s">
        <v>20</v>
      </c>
      <c r="H76" s="16">
        <v>5</v>
      </c>
      <c r="I76" s="16">
        <v>899.99</v>
      </c>
      <c r="J76" s="16" t="s">
        <v>58</v>
      </c>
      <c r="K76" s="16" t="s">
        <v>36</v>
      </c>
      <c r="L76" s="16" t="s">
        <v>37</v>
      </c>
      <c r="M76" s="17">
        <v>44899</v>
      </c>
      <c r="N76" s="16">
        <v>4499.95</v>
      </c>
      <c r="O76" s="45">
        <v>1</v>
      </c>
      <c r="P76" s="46">
        <f t="shared" ca="1" si="3"/>
        <v>46008.502499305556</v>
      </c>
      <c r="Q76" s="45" t="str">
        <f t="shared" si="4"/>
        <v>JJ</v>
      </c>
      <c r="R76" s="45"/>
      <c r="S76" s="45"/>
    </row>
    <row r="77" spans="1:19" ht="15.75" customHeight="1" x14ac:dyDescent="0.3">
      <c r="A77" s="16" t="s">
        <v>203</v>
      </c>
      <c r="B77" s="17">
        <v>45498</v>
      </c>
      <c r="C77" s="16" t="s">
        <v>183</v>
      </c>
      <c r="D77" s="16" t="s">
        <v>184</v>
      </c>
      <c r="E77" s="16" t="s">
        <v>32</v>
      </c>
      <c r="F77" s="16" t="s">
        <v>33</v>
      </c>
      <c r="G77" s="16" t="s">
        <v>34</v>
      </c>
      <c r="H77" s="16">
        <v>2</v>
      </c>
      <c r="I77" s="16">
        <v>59.99</v>
      </c>
      <c r="J77" s="16" t="s">
        <v>21</v>
      </c>
      <c r="K77" s="16" t="s">
        <v>41</v>
      </c>
      <c r="L77" s="16" t="s">
        <v>37</v>
      </c>
      <c r="M77" s="17">
        <v>45152</v>
      </c>
      <c r="N77" s="16">
        <v>119.98</v>
      </c>
      <c r="O77" s="45">
        <v>0</v>
      </c>
      <c r="P77" s="46">
        <f t="shared" ca="1" si="3"/>
        <v>46008.502499305556</v>
      </c>
      <c r="Q77" s="45" t="str">
        <f t="shared" si="4"/>
        <v>DM</v>
      </c>
      <c r="R77" s="45"/>
      <c r="S77" s="45"/>
    </row>
    <row r="78" spans="1:19" ht="15.75" customHeight="1" x14ac:dyDescent="0.3">
      <c r="A78" s="16" t="s">
        <v>204</v>
      </c>
      <c r="B78" s="17">
        <v>45498</v>
      </c>
      <c r="C78" s="16" t="s">
        <v>197</v>
      </c>
      <c r="D78" s="16" t="s">
        <v>198</v>
      </c>
      <c r="E78" s="16" t="s">
        <v>18</v>
      </c>
      <c r="F78" s="16" t="s">
        <v>19</v>
      </c>
      <c r="G78" s="16" t="s">
        <v>20</v>
      </c>
      <c r="H78" s="16">
        <v>4</v>
      </c>
      <c r="I78" s="16">
        <v>249.99</v>
      </c>
      <c r="J78" s="16" t="s">
        <v>58</v>
      </c>
      <c r="K78" s="16" t="s">
        <v>22</v>
      </c>
      <c r="L78" s="16" t="s">
        <v>37</v>
      </c>
      <c r="M78" s="17">
        <v>45127</v>
      </c>
      <c r="N78" s="16">
        <v>999.96</v>
      </c>
      <c r="O78" s="45">
        <v>1</v>
      </c>
      <c r="P78" s="46">
        <f t="shared" ca="1" si="3"/>
        <v>46008.502499305556</v>
      </c>
      <c r="Q78" s="45" t="str">
        <f t="shared" si="4"/>
        <v>GM</v>
      </c>
      <c r="R78" s="45"/>
      <c r="S78" s="45"/>
    </row>
    <row r="79" spans="1:19" ht="15.75" customHeight="1" x14ac:dyDescent="0.3">
      <c r="A79" s="16" t="s">
        <v>205</v>
      </c>
      <c r="B79" s="17">
        <v>45500</v>
      </c>
      <c r="C79" s="16" t="s">
        <v>97</v>
      </c>
      <c r="D79" s="16" t="s">
        <v>98</v>
      </c>
      <c r="E79" s="16" t="s">
        <v>18</v>
      </c>
      <c r="F79" s="16" t="s">
        <v>19</v>
      </c>
      <c r="G79" s="16" t="s">
        <v>20</v>
      </c>
      <c r="H79" s="16">
        <v>2</v>
      </c>
      <c r="I79" s="16">
        <v>249.99</v>
      </c>
      <c r="J79" s="16" t="s">
        <v>21</v>
      </c>
      <c r="K79" s="16" t="s">
        <v>41</v>
      </c>
      <c r="L79" s="16" t="s">
        <v>28</v>
      </c>
      <c r="M79" s="17">
        <v>45164</v>
      </c>
      <c r="N79" s="16">
        <v>499.98</v>
      </c>
      <c r="O79" s="45">
        <v>0</v>
      </c>
      <c r="P79" s="46">
        <f t="shared" ca="1" si="3"/>
        <v>46008.502499305556</v>
      </c>
      <c r="Q79" s="45" t="str">
        <f t="shared" si="4"/>
        <v>BY</v>
      </c>
      <c r="R79" s="45"/>
      <c r="S79" s="45"/>
    </row>
    <row r="80" spans="1:19" ht="15.75" customHeight="1" x14ac:dyDescent="0.3">
      <c r="A80" s="16" t="s">
        <v>206</v>
      </c>
      <c r="B80" s="17">
        <v>45500</v>
      </c>
      <c r="C80" s="16" t="s">
        <v>148</v>
      </c>
      <c r="D80" s="16" t="s">
        <v>149</v>
      </c>
      <c r="E80" s="16" t="s">
        <v>106</v>
      </c>
      <c r="F80" s="16" t="s">
        <v>107</v>
      </c>
      <c r="G80" s="16" t="s">
        <v>47</v>
      </c>
      <c r="H80" s="16">
        <v>1</v>
      </c>
      <c r="I80" s="16">
        <v>299.99</v>
      </c>
      <c r="J80" s="16" t="s">
        <v>21</v>
      </c>
      <c r="K80" s="16" t="s">
        <v>36</v>
      </c>
      <c r="L80" s="16" t="s">
        <v>23</v>
      </c>
      <c r="M80" s="17">
        <v>44982</v>
      </c>
      <c r="N80" s="16">
        <v>299.99</v>
      </c>
      <c r="O80" s="45">
        <v>1</v>
      </c>
      <c r="P80" s="46">
        <f t="shared" ca="1" si="3"/>
        <v>46008.502499305556</v>
      </c>
      <c r="Q80" s="45" t="str">
        <f t="shared" si="4"/>
        <v>DK</v>
      </c>
      <c r="R80" s="45"/>
      <c r="S80" s="45"/>
    </row>
    <row r="81" spans="1:19" ht="15.75" customHeight="1" x14ac:dyDescent="0.3">
      <c r="A81" s="16" t="s">
        <v>207</v>
      </c>
      <c r="B81" s="17">
        <v>45501</v>
      </c>
      <c r="C81" s="16" t="s">
        <v>87</v>
      </c>
      <c r="D81" s="16" t="s">
        <v>88</v>
      </c>
      <c r="E81" s="16" t="s">
        <v>118</v>
      </c>
      <c r="F81" s="16" t="s">
        <v>119</v>
      </c>
      <c r="G81" s="16" t="s">
        <v>20</v>
      </c>
      <c r="H81" s="16">
        <v>2</v>
      </c>
      <c r="I81" s="16">
        <v>89.99</v>
      </c>
      <c r="J81" s="16" t="s">
        <v>35</v>
      </c>
      <c r="K81" s="16" t="s">
        <v>36</v>
      </c>
      <c r="L81" s="16" t="s">
        <v>23</v>
      </c>
      <c r="M81" s="17">
        <v>44976</v>
      </c>
      <c r="N81" s="16">
        <v>179.98</v>
      </c>
      <c r="O81" s="45">
        <v>1</v>
      </c>
      <c r="P81" s="46">
        <f t="shared" ca="1" si="3"/>
        <v>46008.502499305556</v>
      </c>
      <c r="Q81" s="45" t="str">
        <f t="shared" si="4"/>
        <v>MC</v>
      </c>
      <c r="R81" s="45"/>
      <c r="S81" s="45"/>
    </row>
    <row r="82" spans="1:19" ht="15.75" customHeight="1" x14ac:dyDescent="0.3">
      <c r="A82" s="16" t="s">
        <v>208</v>
      </c>
      <c r="B82" s="17">
        <v>45501</v>
      </c>
      <c r="C82" s="16" t="s">
        <v>148</v>
      </c>
      <c r="D82" s="16" t="s">
        <v>149</v>
      </c>
      <c r="E82" s="16" t="s">
        <v>106</v>
      </c>
      <c r="F82" s="16" t="s">
        <v>107</v>
      </c>
      <c r="G82" s="16" t="s">
        <v>47</v>
      </c>
      <c r="H82" s="16">
        <v>3</v>
      </c>
      <c r="I82" s="16">
        <v>299.99</v>
      </c>
      <c r="J82" s="16" t="s">
        <v>21</v>
      </c>
      <c r="K82" s="16" t="s">
        <v>22</v>
      </c>
      <c r="L82" s="16" t="s">
        <v>23</v>
      </c>
      <c r="M82" s="17">
        <v>44732</v>
      </c>
      <c r="N82" s="16">
        <v>899.97</v>
      </c>
      <c r="O82" s="45">
        <v>2</v>
      </c>
      <c r="P82" s="46">
        <f t="shared" ca="1" si="3"/>
        <v>46008.502499305556</v>
      </c>
      <c r="Q82" s="45" t="str">
        <f t="shared" si="4"/>
        <v>DK</v>
      </c>
      <c r="R82" s="45"/>
      <c r="S82" s="45"/>
    </row>
    <row r="83" spans="1:19" ht="15.75" customHeight="1" x14ac:dyDescent="0.3">
      <c r="A83" s="16" t="s">
        <v>209</v>
      </c>
      <c r="B83" s="17">
        <v>45503</v>
      </c>
      <c r="C83" s="16" t="s">
        <v>87</v>
      </c>
      <c r="D83" s="16" t="s">
        <v>88</v>
      </c>
      <c r="E83" s="16" t="s">
        <v>81</v>
      </c>
      <c r="F83" s="16" t="s">
        <v>82</v>
      </c>
      <c r="G83" s="16" t="s">
        <v>20</v>
      </c>
      <c r="H83" s="16">
        <v>2</v>
      </c>
      <c r="I83" s="16">
        <v>699.99</v>
      </c>
      <c r="J83" s="16" t="s">
        <v>27</v>
      </c>
      <c r="K83" s="16" t="s">
        <v>41</v>
      </c>
      <c r="L83" s="16" t="s">
        <v>28</v>
      </c>
      <c r="M83" s="17">
        <v>44999</v>
      </c>
      <c r="N83" s="16">
        <v>1399.98</v>
      </c>
      <c r="O83" s="45">
        <v>1</v>
      </c>
      <c r="P83" s="46">
        <f t="shared" ca="1" si="3"/>
        <v>46008.502499305556</v>
      </c>
      <c r="Q83" s="45" t="str">
        <f t="shared" si="4"/>
        <v>MC</v>
      </c>
      <c r="R83" s="45"/>
      <c r="S83" s="45"/>
    </row>
    <row r="84" spans="1:19" ht="15.75" customHeight="1" x14ac:dyDescent="0.3">
      <c r="A84" s="16" t="s">
        <v>210</v>
      </c>
      <c r="B84" s="17">
        <v>45504</v>
      </c>
      <c r="C84" s="16" t="s">
        <v>121</v>
      </c>
      <c r="D84" s="16" t="s">
        <v>122</v>
      </c>
      <c r="E84" s="16" t="s">
        <v>62</v>
      </c>
      <c r="F84" s="16" t="s">
        <v>63</v>
      </c>
      <c r="G84" s="16" t="s">
        <v>20</v>
      </c>
      <c r="H84" s="16">
        <v>4</v>
      </c>
      <c r="I84" s="16">
        <v>899.99</v>
      </c>
      <c r="J84" s="16" t="s">
        <v>58</v>
      </c>
      <c r="K84" s="16" t="s">
        <v>36</v>
      </c>
      <c r="L84" s="16" t="s">
        <v>37</v>
      </c>
      <c r="M84" s="17">
        <v>44523</v>
      </c>
      <c r="N84" s="16">
        <v>3599.96</v>
      </c>
      <c r="O84" s="45">
        <v>2</v>
      </c>
      <c r="P84" s="46">
        <f t="shared" ca="1" si="3"/>
        <v>46008.502499305556</v>
      </c>
      <c r="Q84" s="45" t="str">
        <f t="shared" si="4"/>
        <v>HR</v>
      </c>
      <c r="R84" s="45"/>
      <c r="S84" s="45"/>
    </row>
    <row r="85" spans="1:19" ht="15.75" customHeight="1" x14ac:dyDescent="0.3">
      <c r="A85" s="16" t="s">
        <v>211</v>
      </c>
      <c r="B85" s="17">
        <v>45509</v>
      </c>
      <c r="C85" s="16" t="s">
        <v>212</v>
      </c>
      <c r="D85" s="16" t="s">
        <v>213</v>
      </c>
      <c r="E85" s="16" t="s">
        <v>45</v>
      </c>
      <c r="F85" s="16" t="s">
        <v>46</v>
      </c>
      <c r="G85" s="16" t="s">
        <v>47</v>
      </c>
      <c r="H85" s="16">
        <v>2</v>
      </c>
      <c r="I85" s="16">
        <v>149.99</v>
      </c>
      <c r="J85" s="16" t="s">
        <v>27</v>
      </c>
      <c r="K85" s="16" t="s">
        <v>51</v>
      </c>
      <c r="L85" s="16" t="s">
        <v>23</v>
      </c>
      <c r="M85" s="17">
        <v>44542</v>
      </c>
      <c r="N85" s="16">
        <v>299.98</v>
      </c>
      <c r="O85" s="45">
        <v>2</v>
      </c>
      <c r="P85" s="46">
        <f t="shared" ca="1" si="3"/>
        <v>46008.502499305556</v>
      </c>
      <c r="Q85" s="45" t="str">
        <f t="shared" si="4"/>
        <v>EH</v>
      </c>
      <c r="R85" s="45"/>
      <c r="S85" s="45"/>
    </row>
    <row r="86" spans="1:19" ht="15.75" customHeight="1" x14ac:dyDescent="0.3">
      <c r="A86" s="16" t="s">
        <v>214</v>
      </c>
      <c r="B86" s="17">
        <v>45510</v>
      </c>
      <c r="C86" s="16" t="s">
        <v>103</v>
      </c>
      <c r="D86" s="16" t="s">
        <v>104</v>
      </c>
      <c r="E86" s="16" t="s">
        <v>45</v>
      </c>
      <c r="F86" s="16" t="s">
        <v>46</v>
      </c>
      <c r="G86" s="16" t="s">
        <v>47</v>
      </c>
      <c r="H86" s="16">
        <v>2</v>
      </c>
      <c r="I86" s="16">
        <v>149.99</v>
      </c>
      <c r="J86" s="16" t="s">
        <v>58</v>
      </c>
      <c r="K86" s="16" t="s">
        <v>64</v>
      </c>
      <c r="L86" s="16" t="s">
        <v>37</v>
      </c>
      <c r="M86" s="17">
        <v>44667</v>
      </c>
      <c r="N86" s="16">
        <v>299.98</v>
      </c>
      <c r="O86" s="45">
        <v>2</v>
      </c>
      <c r="P86" s="46">
        <f t="shared" ca="1" si="3"/>
        <v>46008.502499305556</v>
      </c>
      <c r="Q86" s="45" t="str">
        <f t="shared" si="4"/>
        <v>CP</v>
      </c>
      <c r="R86" s="45"/>
      <c r="S86" s="45"/>
    </row>
    <row r="87" spans="1:19" ht="15.75" customHeight="1" x14ac:dyDescent="0.3">
      <c r="A87" s="16" t="s">
        <v>215</v>
      </c>
      <c r="B87" s="17">
        <v>45513</v>
      </c>
      <c r="C87" s="16" t="s">
        <v>90</v>
      </c>
      <c r="D87" s="16" t="s">
        <v>91</v>
      </c>
      <c r="E87" s="16" t="s">
        <v>118</v>
      </c>
      <c r="F87" s="16" t="s">
        <v>119</v>
      </c>
      <c r="G87" s="16" t="s">
        <v>20</v>
      </c>
      <c r="H87" s="16">
        <v>1</v>
      </c>
      <c r="I87" s="16">
        <v>89.99</v>
      </c>
      <c r="J87" s="16" t="s">
        <v>27</v>
      </c>
      <c r="K87" s="16" t="s">
        <v>41</v>
      </c>
      <c r="L87" s="16" t="s">
        <v>37</v>
      </c>
      <c r="M87" s="17">
        <v>45393</v>
      </c>
      <c r="N87" s="16">
        <v>89.99</v>
      </c>
      <c r="O87" s="45">
        <v>0</v>
      </c>
      <c r="P87" s="46">
        <f t="shared" ca="1" si="3"/>
        <v>46008.502499305556</v>
      </c>
      <c r="Q87" s="45" t="str">
        <f t="shared" si="4"/>
        <v>MG</v>
      </c>
      <c r="R87" s="45"/>
      <c r="S87" s="45"/>
    </row>
    <row r="88" spans="1:19" ht="15.75" customHeight="1" x14ac:dyDescent="0.3">
      <c r="A88" s="16" t="s">
        <v>216</v>
      </c>
      <c r="B88" s="17">
        <v>45515</v>
      </c>
      <c r="C88" s="16" t="s">
        <v>87</v>
      </c>
      <c r="D88" s="16" t="s">
        <v>88</v>
      </c>
      <c r="E88" s="16" t="s">
        <v>106</v>
      </c>
      <c r="F88" s="16" t="s">
        <v>107</v>
      </c>
      <c r="G88" s="16" t="s">
        <v>47</v>
      </c>
      <c r="H88" s="16">
        <v>5</v>
      </c>
      <c r="I88" s="16">
        <v>299.99</v>
      </c>
      <c r="J88" s="16" t="s">
        <v>27</v>
      </c>
      <c r="K88" s="16" t="s">
        <v>41</v>
      </c>
      <c r="L88" s="16" t="s">
        <v>23</v>
      </c>
      <c r="M88" s="17">
        <v>44965</v>
      </c>
      <c r="N88" s="16">
        <v>1499.95</v>
      </c>
      <c r="O88" s="45">
        <v>1</v>
      </c>
      <c r="P88" s="46">
        <f t="shared" ca="1" si="3"/>
        <v>46008.502499305556</v>
      </c>
      <c r="Q88" s="45" t="str">
        <f t="shared" si="4"/>
        <v>MC</v>
      </c>
      <c r="R88" s="45"/>
      <c r="S88" s="45"/>
    </row>
    <row r="89" spans="1:19" ht="15.75" customHeight="1" x14ac:dyDescent="0.3">
      <c r="A89" s="16" t="s">
        <v>217</v>
      </c>
      <c r="B89" s="17">
        <v>45517</v>
      </c>
      <c r="C89" s="16" t="s">
        <v>183</v>
      </c>
      <c r="D89" s="16" t="s">
        <v>184</v>
      </c>
      <c r="E89" s="16" t="s">
        <v>53</v>
      </c>
      <c r="F89" s="16" t="s">
        <v>54</v>
      </c>
      <c r="G89" s="16" t="s">
        <v>20</v>
      </c>
      <c r="H89" s="16">
        <v>4</v>
      </c>
      <c r="I89" s="16">
        <v>149.99</v>
      </c>
      <c r="J89" s="16" t="s">
        <v>58</v>
      </c>
      <c r="K89" s="16" t="s">
        <v>36</v>
      </c>
      <c r="L89" s="16" t="s">
        <v>28</v>
      </c>
      <c r="M89" s="17">
        <v>44820</v>
      </c>
      <c r="N89" s="16">
        <v>599.96</v>
      </c>
      <c r="O89" s="45">
        <v>1</v>
      </c>
      <c r="P89" s="46">
        <f t="shared" ca="1" si="3"/>
        <v>46008.502499305556</v>
      </c>
      <c r="Q89" s="45" t="str">
        <f t="shared" si="4"/>
        <v>DM</v>
      </c>
      <c r="R89" s="45"/>
      <c r="S89" s="45"/>
    </row>
    <row r="90" spans="1:19" ht="15.75" customHeight="1" x14ac:dyDescent="0.3">
      <c r="A90" s="16" t="s">
        <v>218</v>
      </c>
      <c r="B90" s="17">
        <v>45517</v>
      </c>
      <c r="C90" s="16" t="s">
        <v>186</v>
      </c>
      <c r="D90" s="16" t="s">
        <v>187</v>
      </c>
      <c r="E90" s="16" t="s">
        <v>18</v>
      </c>
      <c r="F90" s="16" t="s">
        <v>19</v>
      </c>
      <c r="G90" s="16" t="s">
        <v>20</v>
      </c>
      <c r="H90" s="16">
        <v>5</v>
      </c>
      <c r="I90" s="16">
        <v>249.99</v>
      </c>
      <c r="J90" s="16" t="s">
        <v>35</v>
      </c>
      <c r="K90" s="16" t="s">
        <v>64</v>
      </c>
      <c r="L90" s="16" t="s">
        <v>28</v>
      </c>
      <c r="M90" s="17">
        <v>44782</v>
      </c>
      <c r="N90" s="16">
        <v>1249.95</v>
      </c>
      <c r="O90" s="45">
        <v>2</v>
      </c>
      <c r="P90" s="46">
        <f t="shared" ca="1" si="3"/>
        <v>46008.502499305556</v>
      </c>
      <c r="Q90" s="45" t="str">
        <f t="shared" si="4"/>
        <v>MW</v>
      </c>
      <c r="R90" s="45"/>
      <c r="S90" s="45"/>
    </row>
    <row r="91" spans="1:19" ht="15.75" customHeight="1" x14ac:dyDescent="0.3">
      <c r="A91" s="16" t="s">
        <v>219</v>
      </c>
      <c r="B91" s="17">
        <v>45517</v>
      </c>
      <c r="C91" s="16" t="s">
        <v>66</v>
      </c>
      <c r="D91" s="16" t="s">
        <v>67</v>
      </c>
      <c r="E91" s="16" t="s">
        <v>18</v>
      </c>
      <c r="F91" s="16" t="s">
        <v>19</v>
      </c>
      <c r="G91" s="16" t="s">
        <v>20</v>
      </c>
      <c r="H91" s="16">
        <v>3</v>
      </c>
      <c r="I91" s="16">
        <v>249.99</v>
      </c>
      <c r="J91" s="16" t="s">
        <v>35</v>
      </c>
      <c r="K91" s="16" t="s">
        <v>41</v>
      </c>
      <c r="L91" s="16" t="s">
        <v>28</v>
      </c>
      <c r="M91" s="17">
        <v>44465</v>
      </c>
      <c r="N91" s="16">
        <v>749.97</v>
      </c>
      <c r="O91" s="45">
        <v>2</v>
      </c>
      <c r="P91" s="46">
        <f t="shared" ca="1" si="3"/>
        <v>46008.502499305556</v>
      </c>
      <c r="Q91" s="45" t="str">
        <f t="shared" si="4"/>
        <v>KH</v>
      </c>
      <c r="R91" s="45"/>
      <c r="S91" s="45"/>
    </row>
    <row r="92" spans="1:19" ht="15.75" customHeight="1" x14ac:dyDescent="0.3">
      <c r="A92" s="16" t="s">
        <v>220</v>
      </c>
      <c r="B92" s="17">
        <v>45517</v>
      </c>
      <c r="C92" s="16" t="s">
        <v>39</v>
      </c>
      <c r="D92" s="16" t="s">
        <v>40</v>
      </c>
      <c r="E92" s="16" t="s">
        <v>127</v>
      </c>
      <c r="F92" s="16" t="s">
        <v>128</v>
      </c>
      <c r="G92" s="16" t="s">
        <v>47</v>
      </c>
      <c r="H92" s="16">
        <v>4</v>
      </c>
      <c r="I92" s="16">
        <v>199.99</v>
      </c>
      <c r="J92" s="16" t="s">
        <v>21</v>
      </c>
      <c r="K92" s="16" t="s">
        <v>41</v>
      </c>
      <c r="L92" s="16" t="s">
        <v>37</v>
      </c>
      <c r="M92" s="17">
        <v>44458</v>
      </c>
      <c r="N92" s="16">
        <v>799.96</v>
      </c>
      <c r="O92" s="45">
        <v>2</v>
      </c>
      <c r="P92" s="46">
        <f t="shared" ca="1" si="3"/>
        <v>46008.502499305556</v>
      </c>
      <c r="Q92" s="45" t="str">
        <f t="shared" si="4"/>
        <v>KB</v>
      </c>
      <c r="R92" s="45"/>
      <c r="S92" s="45"/>
    </row>
    <row r="93" spans="1:19" ht="15.75" customHeight="1" x14ac:dyDescent="0.3">
      <c r="A93" s="16" t="s">
        <v>221</v>
      </c>
      <c r="B93" s="17">
        <v>45519</v>
      </c>
      <c r="C93" s="16" t="s">
        <v>159</v>
      </c>
      <c r="D93" s="16" t="s">
        <v>160</v>
      </c>
      <c r="E93" s="16" t="s">
        <v>127</v>
      </c>
      <c r="F93" s="16" t="s">
        <v>128</v>
      </c>
      <c r="G93" s="16" t="s">
        <v>47</v>
      </c>
      <c r="H93" s="16">
        <v>5</v>
      </c>
      <c r="I93" s="16">
        <v>199.99</v>
      </c>
      <c r="J93" s="16" t="s">
        <v>21</v>
      </c>
      <c r="K93" s="16" t="s">
        <v>41</v>
      </c>
      <c r="L93" s="16" t="s">
        <v>28</v>
      </c>
      <c r="M93" s="17">
        <v>44991</v>
      </c>
      <c r="N93" s="16">
        <v>999.95</v>
      </c>
      <c r="O93" s="45">
        <v>1</v>
      </c>
      <c r="P93" s="46">
        <f t="shared" ca="1" si="3"/>
        <v>46008.502499305556</v>
      </c>
      <c r="Q93" s="45" t="str">
        <f t="shared" si="4"/>
        <v>BC</v>
      </c>
      <c r="R93" s="45"/>
      <c r="S93" s="45"/>
    </row>
    <row r="94" spans="1:19" ht="15.75" customHeight="1" x14ac:dyDescent="0.3">
      <c r="A94" s="16" t="s">
        <v>222</v>
      </c>
      <c r="B94" s="17">
        <v>45522</v>
      </c>
      <c r="C94" s="16" t="s">
        <v>87</v>
      </c>
      <c r="D94" s="16" t="s">
        <v>88</v>
      </c>
      <c r="E94" s="16" t="s">
        <v>118</v>
      </c>
      <c r="F94" s="16" t="s">
        <v>119</v>
      </c>
      <c r="G94" s="16" t="s">
        <v>20</v>
      </c>
      <c r="H94" s="16">
        <v>2</v>
      </c>
      <c r="I94" s="16">
        <v>89.99</v>
      </c>
      <c r="J94" s="16" t="s">
        <v>21</v>
      </c>
      <c r="K94" s="16" t="s">
        <v>64</v>
      </c>
      <c r="L94" s="16" t="s">
        <v>28</v>
      </c>
      <c r="M94" s="17">
        <v>44972</v>
      </c>
      <c r="N94" s="16">
        <v>179.98</v>
      </c>
      <c r="O94" s="45">
        <v>1</v>
      </c>
      <c r="P94" s="46">
        <f t="shared" ca="1" si="3"/>
        <v>46008.502499305556</v>
      </c>
      <c r="Q94" s="45" t="str">
        <f t="shared" si="4"/>
        <v>MC</v>
      </c>
      <c r="R94" s="45"/>
      <c r="S94" s="45"/>
    </row>
    <row r="95" spans="1:19" ht="15.75" customHeight="1" x14ac:dyDescent="0.3">
      <c r="A95" s="16" t="s">
        <v>223</v>
      </c>
      <c r="B95" s="17">
        <v>45523</v>
      </c>
      <c r="C95" s="16" t="s">
        <v>197</v>
      </c>
      <c r="D95" s="16" t="s">
        <v>198</v>
      </c>
      <c r="E95" s="16" t="s">
        <v>62</v>
      </c>
      <c r="F95" s="16" t="s">
        <v>63</v>
      </c>
      <c r="G95" s="16" t="s">
        <v>20</v>
      </c>
      <c r="H95" s="16">
        <v>5</v>
      </c>
      <c r="I95" s="16">
        <v>899.99</v>
      </c>
      <c r="J95" s="16" t="s">
        <v>58</v>
      </c>
      <c r="K95" s="16" t="s">
        <v>64</v>
      </c>
      <c r="L95" s="16" t="s">
        <v>23</v>
      </c>
      <c r="M95" s="17">
        <v>44526</v>
      </c>
      <c r="N95" s="16">
        <v>4499.95</v>
      </c>
      <c r="O95" s="45">
        <v>2</v>
      </c>
      <c r="P95" s="46">
        <f t="shared" ca="1" si="3"/>
        <v>46008.502499305556</v>
      </c>
      <c r="Q95" s="45" t="str">
        <f t="shared" si="4"/>
        <v>GM</v>
      </c>
      <c r="R95" s="45"/>
      <c r="S95" s="45"/>
    </row>
    <row r="96" spans="1:19" ht="15.75" customHeight="1" x14ac:dyDescent="0.3">
      <c r="A96" s="16" t="s">
        <v>224</v>
      </c>
      <c r="B96" s="17">
        <v>45523</v>
      </c>
      <c r="C96" s="16" t="s">
        <v>109</v>
      </c>
      <c r="D96" s="16" t="s">
        <v>110</v>
      </c>
      <c r="E96" s="16" t="s">
        <v>53</v>
      </c>
      <c r="F96" s="16" t="s">
        <v>54</v>
      </c>
      <c r="G96" s="16" t="s">
        <v>20</v>
      </c>
      <c r="H96" s="16">
        <v>3</v>
      </c>
      <c r="I96" s="16">
        <v>149.99</v>
      </c>
      <c r="J96" s="16" t="s">
        <v>35</v>
      </c>
      <c r="K96" s="16" t="s">
        <v>64</v>
      </c>
      <c r="L96" s="16" t="s">
        <v>23</v>
      </c>
      <c r="M96" s="17">
        <v>44574</v>
      </c>
      <c r="N96" s="16">
        <v>449.97</v>
      </c>
      <c r="O96" s="45">
        <v>2</v>
      </c>
      <c r="P96" s="46">
        <f t="shared" ca="1" si="3"/>
        <v>46008.502499305556</v>
      </c>
      <c r="Q96" s="45" t="str">
        <f t="shared" si="4"/>
        <v>NC</v>
      </c>
      <c r="R96" s="45"/>
      <c r="S96" s="45"/>
    </row>
    <row r="97" spans="1:19" ht="15.75" customHeight="1" x14ac:dyDescent="0.3">
      <c r="A97" s="16" t="s">
        <v>225</v>
      </c>
      <c r="B97" s="17">
        <v>45526</v>
      </c>
      <c r="C97" s="16" t="s">
        <v>103</v>
      </c>
      <c r="D97" s="16" t="s">
        <v>104</v>
      </c>
      <c r="E97" s="16" t="s">
        <v>45</v>
      </c>
      <c r="F97" s="16" t="s">
        <v>46</v>
      </c>
      <c r="G97" s="16" t="s">
        <v>47</v>
      </c>
      <c r="H97" s="16">
        <v>5</v>
      </c>
      <c r="I97" s="16">
        <v>149.99</v>
      </c>
      <c r="J97" s="16" t="s">
        <v>27</v>
      </c>
      <c r="K97" s="16" t="s">
        <v>22</v>
      </c>
      <c r="L97" s="16" t="s">
        <v>23</v>
      </c>
      <c r="M97" s="17">
        <v>45310</v>
      </c>
      <c r="N97" s="16">
        <v>749.95</v>
      </c>
      <c r="O97" s="45">
        <v>0</v>
      </c>
      <c r="P97" s="46">
        <f t="shared" ca="1" si="3"/>
        <v>46008.502499305556</v>
      </c>
      <c r="Q97" s="45" t="str">
        <f t="shared" si="4"/>
        <v>CP</v>
      </c>
      <c r="R97" s="45"/>
      <c r="S97" s="45"/>
    </row>
    <row r="98" spans="1:19" ht="15.75" customHeight="1" x14ac:dyDescent="0.3">
      <c r="A98" s="16" t="s">
        <v>226</v>
      </c>
      <c r="B98" s="17">
        <v>45528</v>
      </c>
      <c r="C98" s="16" t="s">
        <v>227</v>
      </c>
      <c r="D98" s="16" t="s">
        <v>228</v>
      </c>
      <c r="E98" s="16" t="s">
        <v>115</v>
      </c>
      <c r="F98" s="16" t="s">
        <v>116</v>
      </c>
      <c r="G98" s="16" t="s">
        <v>34</v>
      </c>
      <c r="H98" s="16">
        <v>3</v>
      </c>
      <c r="I98" s="16">
        <v>79.989999999999995</v>
      </c>
      <c r="J98" s="16" t="s">
        <v>21</v>
      </c>
      <c r="K98" s="16" t="s">
        <v>22</v>
      </c>
      <c r="L98" s="16" t="s">
        <v>28</v>
      </c>
      <c r="M98" s="17">
        <v>44779</v>
      </c>
      <c r="N98" s="16">
        <v>239.97</v>
      </c>
      <c r="O98" s="45">
        <v>2</v>
      </c>
      <c r="P98" s="46">
        <f t="shared" ca="1" si="3"/>
        <v>46008.502499305556</v>
      </c>
      <c r="Q98" s="45" t="str">
        <f t="shared" si="4"/>
        <v>LR</v>
      </c>
      <c r="R98" s="45"/>
      <c r="S98" s="45"/>
    </row>
    <row r="99" spans="1:19" ht="15.75" customHeight="1" x14ac:dyDescent="0.3">
      <c r="A99" s="16" t="s">
        <v>229</v>
      </c>
      <c r="B99" s="17">
        <v>45528</v>
      </c>
      <c r="C99" s="16" t="s">
        <v>145</v>
      </c>
      <c r="D99" s="16" t="s">
        <v>146</v>
      </c>
      <c r="E99" s="16" t="s">
        <v>18</v>
      </c>
      <c r="F99" s="16" t="s">
        <v>19</v>
      </c>
      <c r="G99" s="16" t="s">
        <v>20</v>
      </c>
      <c r="H99" s="16">
        <v>2</v>
      </c>
      <c r="I99" s="16">
        <v>249.99</v>
      </c>
      <c r="J99" s="16" t="s">
        <v>21</v>
      </c>
      <c r="K99" s="16" t="s">
        <v>36</v>
      </c>
      <c r="L99" s="16" t="s">
        <v>37</v>
      </c>
      <c r="M99" s="17">
        <v>44572</v>
      </c>
      <c r="N99" s="16">
        <v>499.98</v>
      </c>
      <c r="O99" s="45">
        <v>2</v>
      </c>
      <c r="P99" s="46">
        <f t="shared" ca="1" si="3"/>
        <v>46008.502499305556</v>
      </c>
      <c r="Q99" s="45" t="str">
        <f t="shared" si="4"/>
        <v>HM</v>
      </c>
      <c r="R99" s="45"/>
      <c r="S99" s="45"/>
    </row>
    <row r="100" spans="1:19" ht="15.75" customHeight="1" x14ac:dyDescent="0.3">
      <c r="A100" s="16" t="s">
        <v>230</v>
      </c>
      <c r="B100" s="17">
        <v>45532</v>
      </c>
      <c r="C100" s="16" t="s">
        <v>197</v>
      </c>
      <c r="D100" s="16" t="s">
        <v>198</v>
      </c>
      <c r="E100" s="16" t="s">
        <v>81</v>
      </c>
      <c r="F100" s="16" t="s">
        <v>82</v>
      </c>
      <c r="G100" s="16" t="s">
        <v>20</v>
      </c>
      <c r="H100" s="16">
        <v>1</v>
      </c>
      <c r="I100" s="16">
        <v>699.99</v>
      </c>
      <c r="J100" s="16" t="s">
        <v>21</v>
      </c>
      <c r="K100" s="16" t="s">
        <v>22</v>
      </c>
      <c r="L100" s="16" t="s">
        <v>28</v>
      </c>
      <c r="M100" s="17">
        <v>44497</v>
      </c>
      <c r="N100" s="16">
        <v>699.99</v>
      </c>
      <c r="O100" s="45">
        <v>2</v>
      </c>
      <c r="P100" s="46">
        <f t="shared" ca="1" si="3"/>
        <v>46008.502499305556</v>
      </c>
      <c r="Q100" s="45" t="str">
        <f t="shared" si="4"/>
        <v>GM</v>
      </c>
      <c r="R100" s="45"/>
      <c r="S100" s="45"/>
    </row>
    <row r="101" spans="1:19" ht="15.75" customHeight="1" x14ac:dyDescent="0.3">
      <c r="A101" s="16" t="s">
        <v>231</v>
      </c>
      <c r="B101" s="17">
        <v>45532</v>
      </c>
      <c r="C101" s="16" t="s">
        <v>232</v>
      </c>
      <c r="D101" s="16" t="s">
        <v>233</v>
      </c>
      <c r="E101" s="16" t="s">
        <v>53</v>
      </c>
      <c r="F101" s="16" t="s">
        <v>54</v>
      </c>
      <c r="G101" s="16" t="s">
        <v>20</v>
      </c>
      <c r="H101" s="16">
        <v>3</v>
      </c>
      <c r="I101" s="16">
        <v>149.99</v>
      </c>
      <c r="J101" s="16" t="s">
        <v>21</v>
      </c>
      <c r="K101" s="16" t="s">
        <v>51</v>
      </c>
      <c r="L101" s="16" t="s">
        <v>28</v>
      </c>
      <c r="M101" s="17">
        <v>45212</v>
      </c>
      <c r="N101" s="16">
        <v>449.97</v>
      </c>
      <c r="O101" s="45">
        <v>0</v>
      </c>
      <c r="P101" s="46">
        <f t="shared" ca="1" si="3"/>
        <v>46008.502499305556</v>
      </c>
      <c r="Q101" s="45" t="str">
        <f t="shared" si="4"/>
        <v>CE</v>
      </c>
      <c r="R101" s="45"/>
      <c r="S101" s="45"/>
    </row>
    <row r="102" spans="1:19" ht="15.75" customHeight="1" x14ac:dyDescent="0.3">
      <c r="A102" s="16" t="s">
        <v>234</v>
      </c>
      <c r="B102" s="17">
        <v>45534</v>
      </c>
      <c r="C102" s="16" t="s">
        <v>235</v>
      </c>
      <c r="D102" s="16" t="s">
        <v>236</v>
      </c>
      <c r="E102" s="16" t="s">
        <v>81</v>
      </c>
      <c r="F102" s="16" t="s">
        <v>82</v>
      </c>
      <c r="G102" s="16" t="s">
        <v>20</v>
      </c>
      <c r="H102" s="16">
        <v>2</v>
      </c>
      <c r="I102" s="16">
        <v>699.99</v>
      </c>
      <c r="J102" s="16" t="s">
        <v>27</v>
      </c>
      <c r="K102" s="16" t="s">
        <v>41</v>
      </c>
      <c r="L102" s="16" t="s">
        <v>28</v>
      </c>
      <c r="M102" s="17">
        <v>44421</v>
      </c>
      <c r="N102" s="16">
        <v>1399.98</v>
      </c>
      <c r="O102" s="45">
        <v>3</v>
      </c>
      <c r="P102" s="46">
        <f t="shared" ca="1" si="3"/>
        <v>46008.502499305556</v>
      </c>
      <c r="Q102" s="45" t="str">
        <f t="shared" si="4"/>
        <v>SP</v>
      </c>
      <c r="R102" s="45"/>
      <c r="S102" s="45"/>
    </row>
    <row r="103" spans="1:19" ht="15.75" customHeight="1" x14ac:dyDescent="0.3">
      <c r="A103" s="16" t="s">
        <v>237</v>
      </c>
      <c r="B103" s="17">
        <v>45537</v>
      </c>
      <c r="C103" s="16" t="s">
        <v>232</v>
      </c>
      <c r="D103" s="16" t="s">
        <v>233</v>
      </c>
      <c r="E103" s="16" t="s">
        <v>18</v>
      </c>
      <c r="F103" s="16" t="s">
        <v>19</v>
      </c>
      <c r="G103" s="16" t="s">
        <v>20</v>
      </c>
      <c r="H103" s="16">
        <v>1</v>
      </c>
      <c r="I103" s="16">
        <v>249.99</v>
      </c>
      <c r="J103" s="16" t="s">
        <v>27</v>
      </c>
      <c r="K103" s="16" t="s">
        <v>51</v>
      </c>
      <c r="L103" s="16" t="s">
        <v>28</v>
      </c>
      <c r="M103" s="17">
        <v>44685</v>
      </c>
      <c r="N103" s="16">
        <v>249.99</v>
      </c>
      <c r="O103" s="45">
        <v>2</v>
      </c>
      <c r="P103" s="46">
        <f t="shared" ca="1" si="3"/>
        <v>46008.502499305556</v>
      </c>
      <c r="Q103" s="45" t="str">
        <f t="shared" si="4"/>
        <v>CE</v>
      </c>
      <c r="R103" s="45"/>
      <c r="S103" s="45"/>
    </row>
    <row r="104" spans="1:19" ht="15.75" customHeight="1" x14ac:dyDescent="0.3">
      <c r="A104" s="16" t="s">
        <v>238</v>
      </c>
      <c r="B104" s="17">
        <v>45537</v>
      </c>
      <c r="C104" s="16" t="s">
        <v>16</v>
      </c>
      <c r="D104" s="16" t="s">
        <v>17</v>
      </c>
      <c r="E104" s="16" t="s">
        <v>18</v>
      </c>
      <c r="F104" s="16" t="s">
        <v>19</v>
      </c>
      <c r="G104" s="16" t="s">
        <v>20</v>
      </c>
      <c r="H104" s="16">
        <v>1</v>
      </c>
      <c r="I104" s="16">
        <v>249.99</v>
      </c>
      <c r="J104" s="16" t="s">
        <v>58</v>
      </c>
      <c r="K104" s="16" t="s">
        <v>41</v>
      </c>
      <c r="L104" s="16" t="s">
        <v>28</v>
      </c>
      <c r="M104" s="17">
        <v>45332</v>
      </c>
      <c r="N104" s="16">
        <v>249.99</v>
      </c>
      <c r="O104" s="45">
        <v>0</v>
      </c>
      <c r="P104" s="46">
        <f t="shared" ca="1" si="3"/>
        <v>46008.502499305556</v>
      </c>
      <c r="Q104" s="45" t="str">
        <f t="shared" si="4"/>
        <v>PB</v>
      </c>
      <c r="R104" s="45"/>
      <c r="S104" s="45"/>
    </row>
    <row r="105" spans="1:19" ht="15.75" customHeight="1" x14ac:dyDescent="0.3">
      <c r="A105" s="16" t="s">
        <v>239</v>
      </c>
      <c r="B105" s="17">
        <v>45538</v>
      </c>
      <c r="C105" s="16" t="s">
        <v>227</v>
      </c>
      <c r="D105" s="16" t="s">
        <v>228</v>
      </c>
      <c r="E105" s="16" t="s">
        <v>81</v>
      </c>
      <c r="F105" s="16" t="s">
        <v>82</v>
      </c>
      <c r="G105" s="16" t="s">
        <v>20</v>
      </c>
      <c r="H105" s="16">
        <v>2</v>
      </c>
      <c r="I105" s="16">
        <v>699.99</v>
      </c>
      <c r="J105" s="16" t="s">
        <v>58</v>
      </c>
      <c r="K105" s="16" t="s">
        <v>22</v>
      </c>
      <c r="L105" s="16" t="s">
        <v>28</v>
      </c>
      <c r="M105" s="17">
        <v>44870</v>
      </c>
      <c r="N105" s="16">
        <v>1399.98</v>
      </c>
      <c r="O105" s="45">
        <v>1</v>
      </c>
      <c r="P105" s="46">
        <f t="shared" ca="1" si="3"/>
        <v>46008.502499305556</v>
      </c>
      <c r="Q105" s="45" t="str">
        <f t="shared" si="4"/>
        <v>LR</v>
      </c>
      <c r="R105" s="45"/>
      <c r="S105" s="45"/>
    </row>
    <row r="106" spans="1:19" ht="15.75" customHeight="1" x14ac:dyDescent="0.3">
      <c r="A106" s="16" t="s">
        <v>240</v>
      </c>
      <c r="B106" s="17">
        <v>45541</v>
      </c>
      <c r="C106" s="16" t="s">
        <v>139</v>
      </c>
      <c r="D106" s="16" t="s">
        <v>140</v>
      </c>
      <c r="E106" s="16" t="s">
        <v>32</v>
      </c>
      <c r="F106" s="16" t="s">
        <v>33</v>
      </c>
      <c r="G106" s="16" t="s">
        <v>34</v>
      </c>
      <c r="H106" s="16">
        <v>3</v>
      </c>
      <c r="I106" s="16">
        <v>59.99</v>
      </c>
      <c r="J106" s="16" t="s">
        <v>27</v>
      </c>
      <c r="K106" s="16" t="s">
        <v>22</v>
      </c>
      <c r="L106" s="16" t="s">
        <v>28</v>
      </c>
      <c r="M106" s="17">
        <v>44717</v>
      </c>
      <c r="N106" s="16">
        <v>179.97</v>
      </c>
      <c r="O106" s="45">
        <v>2</v>
      </c>
      <c r="P106" s="46">
        <f t="shared" ca="1" si="3"/>
        <v>46008.502499305556</v>
      </c>
      <c r="Q106" s="45" t="str">
        <f t="shared" si="4"/>
        <v>ST</v>
      </c>
      <c r="R106" s="45"/>
      <c r="S106" s="45"/>
    </row>
    <row r="107" spans="1:19" ht="15.75" customHeight="1" x14ac:dyDescent="0.3">
      <c r="A107" s="16" t="s">
        <v>241</v>
      </c>
      <c r="B107" s="17">
        <v>45544</v>
      </c>
      <c r="C107" s="16" t="s">
        <v>133</v>
      </c>
      <c r="D107" s="16" t="s">
        <v>134</v>
      </c>
      <c r="E107" s="16" t="s">
        <v>32</v>
      </c>
      <c r="F107" s="16" t="s">
        <v>33</v>
      </c>
      <c r="G107" s="16" t="s">
        <v>34</v>
      </c>
      <c r="H107" s="16">
        <v>3</v>
      </c>
      <c r="I107" s="16">
        <v>59.99</v>
      </c>
      <c r="J107" s="16" t="s">
        <v>35</v>
      </c>
      <c r="K107" s="16" t="s">
        <v>64</v>
      </c>
      <c r="L107" s="16" t="s">
        <v>37</v>
      </c>
      <c r="M107" s="17">
        <v>44748</v>
      </c>
      <c r="N107" s="16">
        <v>179.97</v>
      </c>
      <c r="O107" s="45">
        <v>2</v>
      </c>
      <c r="P107" s="46">
        <f t="shared" ca="1" si="3"/>
        <v>46008.502499305556</v>
      </c>
      <c r="Q107" s="45" t="str">
        <f t="shared" si="4"/>
        <v>EW</v>
      </c>
      <c r="R107" s="45"/>
      <c r="S107" s="45"/>
    </row>
    <row r="108" spans="1:19" ht="15.75" customHeight="1" x14ac:dyDescent="0.3">
      <c r="A108" s="16" t="s">
        <v>242</v>
      </c>
      <c r="B108" s="17">
        <v>45544</v>
      </c>
      <c r="C108" s="16" t="s">
        <v>142</v>
      </c>
      <c r="D108" s="16" t="s">
        <v>143</v>
      </c>
      <c r="E108" s="16" t="s">
        <v>115</v>
      </c>
      <c r="F108" s="16" t="s">
        <v>116</v>
      </c>
      <c r="G108" s="16" t="s">
        <v>34</v>
      </c>
      <c r="H108" s="16">
        <v>4</v>
      </c>
      <c r="I108" s="16">
        <v>79.989999999999995</v>
      </c>
      <c r="J108" s="16" t="s">
        <v>21</v>
      </c>
      <c r="K108" s="16" t="s">
        <v>41</v>
      </c>
      <c r="L108" s="16" t="s">
        <v>23</v>
      </c>
      <c r="M108" s="17">
        <v>44530</v>
      </c>
      <c r="N108" s="16">
        <v>319.95999999999998</v>
      </c>
      <c r="O108" s="45">
        <v>2</v>
      </c>
      <c r="P108" s="46">
        <f t="shared" ca="1" si="3"/>
        <v>46008.502499305556</v>
      </c>
      <c r="Q108" s="45" t="str">
        <f t="shared" si="4"/>
        <v>JT</v>
      </c>
      <c r="R108" s="45"/>
      <c r="S108" s="45"/>
    </row>
    <row r="109" spans="1:19" ht="15.75" customHeight="1" x14ac:dyDescent="0.3">
      <c r="A109" s="16" t="s">
        <v>243</v>
      </c>
      <c r="B109" s="17">
        <v>45545</v>
      </c>
      <c r="C109" s="16" t="s">
        <v>56</v>
      </c>
      <c r="D109" s="16" t="s">
        <v>57</v>
      </c>
      <c r="E109" s="16" t="s">
        <v>115</v>
      </c>
      <c r="F109" s="16" t="s">
        <v>116</v>
      </c>
      <c r="G109" s="16" t="s">
        <v>34</v>
      </c>
      <c r="H109" s="16">
        <v>1</v>
      </c>
      <c r="I109" s="16">
        <v>79.989999999999995</v>
      </c>
      <c r="J109" s="16" t="s">
        <v>21</v>
      </c>
      <c r="K109" s="16" t="s">
        <v>51</v>
      </c>
      <c r="L109" s="16" t="s">
        <v>23</v>
      </c>
      <c r="M109" s="17">
        <v>44693</v>
      </c>
      <c r="N109" s="16">
        <v>79.989999999999995</v>
      </c>
      <c r="O109" s="45">
        <v>2</v>
      </c>
      <c r="P109" s="46">
        <f t="shared" ca="1" si="3"/>
        <v>46008.502499305556</v>
      </c>
      <c r="Q109" s="45" t="str">
        <f t="shared" si="4"/>
        <v>CA</v>
      </c>
      <c r="R109" s="45"/>
      <c r="S109" s="45"/>
    </row>
    <row r="110" spans="1:19" ht="15.75" customHeight="1" x14ac:dyDescent="0.3">
      <c r="A110" s="16" t="s">
        <v>244</v>
      </c>
      <c r="B110" s="17">
        <v>45547</v>
      </c>
      <c r="C110" s="16" t="s">
        <v>49</v>
      </c>
      <c r="D110" s="16" t="s">
        <v>50</v>
      </c>
      <c r="E110" s="16" t="s">
        <v>106</v>
      </c>
      <c r="F110" s="16" t="s">
        <v>107</v>
      </c>
      <c r="G110" s="16" t="s">
        <v>47</v>
      </c>
      <c r="H110" s="16">
        <v>3</v>
      </c>
      <c r="I110" s="16">
        <v>299.99</v>
      </c>
      <c r="J110" s="16" t="s">
        <v>27</v>
      </c>
      <c r="K110" s="16" t="s">
        <v>22</v>
      </c>
      <c r="L110" s="16" t="s">
        <v>28</v>
      </c>
      <c r="M110" s="17">
        <v>44494</v>
      </c>
      <c r="N110" s="16">
        <v>899.97</v>
      </c>
      <c r="O110" s="45">
        <v>2</v>
      </c>
      <c r="P110" s="46">
        <f t="shared" ca="1" si="3"/>
        <v>46008.502499305556</v>
      </c>
      <c r="Q110" s="45" t="str">
        <f t="shared" si="4"/>
        <v>DN</v>
      </c>
      <c r="R110" s="45"/>
      <c r="S110" s="45"/>
    </row>
    <row r="111" spans="1:19" ht="15.75" customHeight="1" x14ac:dyDescent="0.3">
      <c r="A111" s="16" t="s">
        <v>245</v>
      </c>
      <c r="B111" s="17">
        <v>45548</v>
      </c>
      <c r="C111" s="16" t="s">
        <v>39</v>
      </c>
      <c r="D111" s="16" t="s">
        <v>40</v>
      </c>
      <c r="E111" s="16" t="s">
        <v>118</v>
      </c>
      <c r="F111" s="16" t="s">
        <v>119</v>
      </c>
      <c r="G111" s="16" t="s">
        <v>20</v>
      </c>
      <c r="H111" s="16">
        <v>2</v>
      </c>
      <c r="I111" s="16">
        <v>89.99</v>
      </c>
      <c r="J111" s="16" t="s">
        <v>27</v>
      </c>
      <c r="K111" s="16" t="s">
        <v>36</v>
      </c>
      <c r="L111" s="16" t="s">
        <v>28</v>
      </c>
      <c r="M111" s="17">
        <v>44641</v>
      </c>
      <c r="N111" s="16">
        <v>179.98</v>
      </c>
      <c r="O111" s="45">
        <v>2</v>
      </c>
      <c r="P111" s="46">
        <f t="shared" ca="1" si="3"/>
        <v>46008.502499305556</v>
      </c>
      <c r="Q111" s="45" t="str">
        <f t="shared" si="4"/>
        <v>KB</v>
      </c>
      <c r="R111" s="45"/>
      <c r="S111" s="45"/>
    </row>
    <row r="112" spans="1:19" ht="15.75" customHeight="1" x14ac:dyDescent="0.3">
      <c r="A112" s="16" t="s">
        <v>246</v>
      </c>
      <c r="B112" s="17">
        <v>45550</v>
      </c>
      <c r="C112" s="16" t="s">
        <v>247</v>
      </c>
      <c r="D112" s="16" t="s">
        <v>248</v>
      </c>
      <c r="E112" s="16" t="s">
        <v>53</v>
      </c>
      <c r="F112" s="16" t="s">
        <v>54</v>
      </c>
      <c r="G112" s="16" t="s">
        <v>20</v>
      </c>
      <c r="H112" s="16">
        <v>4</v>
      </c>
      <c r="I112" s="16">
        <v>149.99</v>
      </c>
      <c r="J112" s="16" t="s">
        <v>21</v>
      </c>
      <c r="K112" s="16" t="s">
        <v>41</v>
      </c>
      <c r="L112" s="16" t="s">
        <v>23</v>
      </c>
      <c r="M112" s="17">
        <v>44909</v>
      </c>
      <c r="N112" s="16">
        <v>599.96</v>
      </c>
      <c r="O112" s="45">
        <v>1</v>
      </c>
      <c r="P112" s="46">
        <f t="shared" ca="1" si="3"/>
        <v>46008.502499305556</v>
      </c>
      <c r="Q112" s="45" t="str">
        <f t="shared" si="4"/>
        <v>RB</v>
      </c>
      <c r="R112" s="45"/>
      <c r="S112" s="45"/>
    </row>
    <row r="113" spans="1:19" ht="15.75" customHeight="1" x14ac:dyDescent="0.3">
      <c r="A113" s="16" t="s">
        <v>249</v>
      </c>
      <c r="B113" s="17">
        <v>45551</v>
      </c>
      <c r="C113" s="16" t="s">
        <v>66</v>
      </c>
      <c r="D113" s="16" t="s">
        <v>67</v>
      </c>
      <c r="E113" s="16" t="s">
        <v>18</v>
      </c>
      <c r="F113" s="16" t="s">
        <v>19</v>
      </c>
      <c r="G113" s="16" t="s">
        <v>20</v>
      </c>
      <c r="H113" s="16">
        <v>2</v>
      </c>
      <c r="I113" s="16">
        <v>249.99</v>
      </c>
      <c r="J113" s="16" t="s">
        <v>35</v>
      </c>
      <c r="K113" s="16" t="s">
        <v>36</v>
      </c>
      <c r="L113" s="16" t="s">
        <v>23</v>
      </c>
      <c r="M113" s="17">
        <v>44993</v>
      </c>
      <c r="N113" s="16">
        <v>499.98</v>
      </c>
      <c r="O113" s="45">
        <v>1</v>
      </c>
      <c r="P113" s="46">
        <f t="shared" ca="1" si="3"/>
        <v>46008.502499305556</v>
      </c>
      <c r="Q113" s="45" t="str">
        <f t="shared" si="4"/>
        <v>KH</v>
      </c>
      <c r="R113" s="45"/>
      <c r="S113" s="45"/>
    </row>
    <row r="114" spans="1:19" ht="15.75" customHeight="1" x14ac:dyDescent="0.3">
      <c r="A114" s="16" t="s">
        <v>250</v>
      </c>
      <c r="B114" s="17">
        <v>45551</v>
      </c>
      <c r="C114" s="16" t="s">
        <v>155</v>
      </c>
      <c r="D114" s="16" t="s">
        <v>156</v>
      </c>
      <c r="E114" s="16" t="s">
        <v>127</v>
      </c>
      <c r="F114" s="16" t="s">
        <v>128</v>
      </c>
      <c r="G114" s="16" t="s">
        <v>47</v>
      </c>
      <c r="H114" s="16">
        <v>4</v>
      </c>
      <c r="I114" s="16">
        <v>199.99</v>
      </c>
      <c r="J114" s="16" t="s">
        <v>58</v>
      </c>
      <c r="K114" s="16" t="s">
        <v>64</v>
      </c>
      <c r="L114" s="16" t="s">
        <v>23</v>
      </c>
      <c r="M114" s="17">
        <v>44458</v>
      </c>
      <c r="N114" s="16">
        <v>799.96</v>
      </c>
      <c r="O114" s="45">
        <v>2</v>
      </c>
      <c r="P114" s="46">
        <f t="shared" ca="1" si="3"/>
        <v>46008.502499305556</v>
      </c>
      <c r="Q114" s="45" t="str">
        <f t="shared" si="4"/>
        <v>SD</v>
      </c>
      <c r="R114" s="45"/>
      <c r="S114" s="45"/>
    </row>
    <row r="115" spans="1:19" ht="15.75" customHeight="1" x14ac:dyDescent="0.3">
      <c r="A115" s="16" t="s">
        <v>251</v>
      </c>
      <c r="B115" s="17">
        <v>45554</v>
      </c>
      <c r="C115" s="16" t="s">
        <v>148</v>
      </c>
      <c r="D115" s="16" t="s">
        <v>149</v>
      </c>
      <c r="E115" s="16" t="s">
        <v>118</v>
      </c>
      <c r="F115" s="16" t="s">
        <v>119</v>
      </c>
      <c r="G115" s="16" t="s">
        <v>20</v>
      </c>
      <c r="H115" s="16">
        <v>5</v>
      </c>
      <c r="I115" s="16">
        <v>89.99</v>
      </c>
      <c r="J115" s="16" t="s">
        <v>27</v>
      </c>
      <c r="K115" s="16" t="s">
        <v>64</v>
      </c>
      <c r="L115" s="16" t="s">
        <v>28</v>
      </c>
      <c r="M115" s="17">
        <v>44446</v>
      </c>
      <c r="N115" s="16">
        <v>449.95</v>
      </c>
      <c r="O115" s="45">
        <v>3</v>
      </c>
      <c r="P115" s="46">
        <f t="shared" ca="1" si="3"/>
        <v>46008.502499305556</v>
      </c>
      <c r="Q115" s="45" t="str">
        <f t="shared" si="4"/>
        <v>DK</v>
      </c>
      <c r="R115" s="45"/>
      <c r="S115" s="45"/>
    </row>
    <row r="116" spans="1:19" ht="15.75" customHeight="1" x14ac:dyDescent="0.3">
      <c r="A116" s="16" t="s">
        <v>252</v>
      </c>
      <c r="B116" s="17">
        <v>45554</v>
      </c>
      <c r="C116" s="16" t="s">
        <v>253</v>
      </c>
      <c r="D116" s="16" t="s">
        <v>254</v>
      </c>
      <c r="E116" s="16" t="s">
        <v>53</v>
      </c>
      <c r="F116" s="16" t="s">
        <v>54</v>
      </c>
      <c r="G116" s="16" t="s">
        <v>20</v>
      </c>
      <c r="H116" s="16">
        <v>1</v>
      </c>
      <c r="I116" s="16">
        <v>149.99</v>
      </c>
      <c r="J116" s="16" t="s">
        <v>35</v>
      </c>
      <c r="K116" s="16" t="s">
        <v>64</v>
      </c>
      <c r="L116" s="16" t="s">
        <v>37</v>
      </c>
      <c r="M116" s="17">
        <v>44482</v>
      </c>
      <c r="N116" s="16">
        <v>149.99</v>
      </c>
      <c r="O116" s="45">
        <v>2</v>
      </c>
      <c r="P116" s="46">
        <f t="shared" ca="1" si="3"/>
        <v>46008.502499305556</v>
      </c>
      <c r="Q116" s="45" t="str">
        <f t="shared" si="4"/>
        <v>WW</v>
      </c>
      <c r="R116" s="45"/>
      <c r="S116" s="45"/>
    </row>
    <row r="117" spans="1:19" ht="15.75" customHeight="1" x14ac:dyDescent="0.3">
      <c r="A117" s="16" t="s">
        <v>255</v>
      </c>
      <c r="B117" s="17">
        <v>45554</v>
      </c>
      <c r="C117" s="16" t="s">
        <v>73</v>
      </c>
      <c r="D117" s="16" t="s">
        <v>74</v>
      </c>
      <c r="E117" s="16" t="s">
        <v>81</v>
      </c>
      <c r="F117" s="16" t="s">
        <v>82</v>
      </c>
      <c r="G117" s="16" t="s">
        <v>20</v>
      </c>
      <c r="H117" s="16">
        <v>4</v>
      </c>
      <c r="I117" s="16">
        <v>699.99</v>
      </c>
      <c r="J117" s="16" t="s">
        <v>35</v>
      </c>
      <c r="K117" s="16" t="s">
        <v>36</v>
      </c>
      <c r="L117" s="16" t="s">
        <v>23</v>
      </c>
      <c r="M117" s="17">
        <v>44618</v>
      </c>
      <c r="N117" s="16">
        <v>2799.96</v>
      </c>
      <c r="O117" s="45">
        <v>2</v>
      </c>
      <c r="P117" s="46">
        <f t="shared" ca="1" si="3"/>
        <v>46008.502499305556</v>
      </c>
      <c r="Q117" s="45" t="str">
        <f t="shared" si="4"/>
        <v>PR</v>
      </c>
      <c r="R117" s="45"/>
      <c r="S117" s="45"/>
    </row>
    <row r="118" spans="1:19" ht="15.75" customHeight="1" x14ac:dyDescent="0.3">
      <c r="A118" s="16" t="s">
        <v>256</v>
      </c>
      <c r="B118" s="17">
        <v>45559</v>
      </c>
      <c r="C118" s="16" t="s">
        <v>235</v>
      </c>
      <c r="D118" s="16" t="s">
        <v>236</v>
      </c>
      <c r="E118" s="16" t="s">
        <v>62</v>
      </c>
      <c r="F118" s="16" t="s">
        <v>63</v>
      </c>
      <c r="G118" s="16" t="s">
        <v>20</v>
      </c>
      <c r="H118" s="16">
        <v>3</v>
      </c>
      <c r="I118" s="16">
        <v>899.99</v>
      </c>
      <c r="J118" s="16" t="s">
        <v>27</v>
      </c>
      <c r="K118" s="16" t="s">
        <v>41</v>
      </c>
      <c r="L118" s="16" t="s">
        <v>37</v>
      </c>
      <c r="M118" s="17">
        <v>45157</v>
      </c>
      <c r="N118" s="16">
        <v>2699.97</v>
      </c>
      <c r="O118" s="45">
        <v>1</v>
      </c>
      <c r="P118" s="46">
        <f t="shared" ca="1" si="3"/>
        <v>46008.502499305556</v>
      </c>
      <c r="Q118" s="45" t="str">
        <f t="shared" si="4"/>
        <v>SP</v>
      </c>
      <c r="R118" s="45"/>
      <c r="S118" s="45"/>
    </row>
    <row r="119" spans="1:19" ht="15.75" customHeight="1" x14ac:dyDescent="0.3">
      <c r="A119" s="16" t="s">
        <v>257</v>
      </c>
      <c r="B119" s="17">
        <v>45560</v>
      </c>
      <c r="C119" s="16" t="s">
        <v>113</v>
      </c>
      <c r="D119" s="16" t="s">
        <v>114</v>
      </c>
      <c r="E119" s="16" t="s">
        <v>45</v>
      </c>
      <c r="F119" s="16" t="s">
        <v>46</v>
      </c>
      <c r="G119" s="16" t="s">
        <v>47</v>
      </c>
      <c r="H119" s="16">
        <v>3</v>
      </c>
      <c r="I119" s="16">
        <v>149.99</v>
      </c>
      <c r="J119" s="16" t="s">
        <v>35</v>
      </c>
      <c r="K119" s="16" t="s">
        <v>64</v>
      </c>
      <c r="L119" s="16" t="s">
        <v>23</v>
      </c>
      <c r="M119" s="17">
        <v>44886</v>
      </c>
      <c r="N119" s="16">
        <v>449.97</v>
      </c>
      <c r="O119" s="45">
        <v>1</v>
      </c>
      <c r="P119" s="46">
        <f t="shared" ca="1" si="3"/>
        <v>46008.502499305556</v>
      </c>
      <c r="Q119" s="45" t="str">
        <f t="shared" si="4"/>
        <v>LM</v>
      </c>
      <c r="R119" s="45"/>
      <c r="S119" s="45"/>
    </row>
    <row r="120" spans="1:19" ht="15.75" customHeight="1" x14ac:dyDescent="0.3">
      <c r="A120" s="16" t="s">
        <v>258</v>
      </c>
      <c r="B120" s="17">
        <v>45563</v>
      </c>
      <c r="C120" s="16" t="s">
        <v>100</v>
      </c>
      <c r="D120" s="16" t="s">
        <v>101</v>
      </c>
      <c r="E120" s="16" t="s">
        <v>106</v>
      </c>
      <c r="F120" s="16" t="s">
        <v>107</v>
      </c>
      <c r="G120" s="16" t="s">
        <v>47</v>
      </c>
      <c r="H120" s="16">
        <v>2</v>
      </c>
      <c r="I120" s="16">
        <v>299.99</v>
      </c>
      <c r="J120" s="16" t="s">
        <v>58</v>
      </c>
      <c r="K120" s="16" t="s">
        <v>22</v>
      </c>
      <c r="L120" s="16" t="s">
        <v>23</v>
      </c>
      <c r="M120" s="17">
        <v>44569</v>
      </c>
      <c r="N120" s="16">
        <v>599.98</v>
      </c>
      <c r="O120" s="45">
        <v>2</v>
      </c>
      <c r="P120" s="46">
        <f t="shared" ca="1" si="3"/>
        <v>46008.502499305556</v>
      </c>
      <c r="Q120" s="45" t="str">
        <f t="shared" si="4"/>
        <v>PM</v>
      </c>
      <c r="R120" s="45"/>
      <c r="S120" s="45"/>
    </row>
    <row r="121" spans="1:19" ht="15.75" customHeight="1" x14ac:dyDescent="0.3">
      <c r="A121" s="16" t="s">
        <v>259</v>
      </c>
      <c r="B121" s="17">
        <v>45564</v>
      </c>
      <c r="C121" s="16" t="s">
        <v>260</v>
      </c>
      <c r="D121" s="16" t="s">
        <v>261</v>
      </c>
      <c r="E121" s="16" t="s">
        <v>127</v>
      </c>
      <c r="F121" s="16" t="s">
        <v>128</v>
      </c>
      <c r="G121" s="16" t="s">
        <v>47</v>
      </c>
      <c r="H121" s="16">
        <v>1</v>
      </c>
      <c r="I121" s="16">
        <v>199.99</v>
      </c>
      <c r="J121" s="16" t="s">
        <v>58</v>
      </c>
      <c r="K121" s="16" t="s">
        <v>64</v>
      </c>
      <c r="L121" s="16" t="s">
        <v>37</v>
      </c>
      <c r="M121" s="17">
        <v>44953</v>
      </c>
      <c r="N121" s="16">
        <v>199.99</v>
      </c>
      <c r="O121" s="45">
        <v>1</v>
      </c>
      <c r="P121" s="46">
        <f t="shared" ca="1" si="3"/>
        <v>46008.502499305556</v>
      </c>
      <c r="Q121" s="45" t="str">
        <f t="shared" si="4"/>
        <v>RL</v>
      </c>
      <c r="R121" s="45"/>
      <c r="S121" s="45"/>
    </row>
    <row r="122" spans="1:19" ht="15.75" customHeight="1" x14ac:dyDescent="0.3">
      <c r="A122" s="16" t="s">
        <v>262</v>
      </c>
      <c r="B122" s="17">
        <v>45566</v>
      </c>
      <c r="C122" s="16" t="s">
        <v>43</v>
      </c>
      <c r="D122" s="16" t="s">
        <v>44</v>
      </c>
      <c r="E122" s="16" t="s">
        <v>106</v>
      </c>
      <c r="F122" s="16" t="s">
        <v>107</v>
      </c>
      <c r="G122" s="16" t="s">
        <v>47</v>
      </c>
      <c r="H122" s="16">
        <v>4</v>
      </c>
      <c r="I122" s="16">
        <v>299.99</v>
      </c>
      <c r="J122" s="16" t="s">
        <v>21</v>
      </c>
      <c r="K122" s="16" t="s">
        <v>22</v>
      </c>
      <c r="L122" s="16" t="s">
        <v>28</v>
      </c>
      <c r="M122" s="17">
        <v>44460</v>
      </c>
      <c r="N122" s="16">
        <v>1199.96</v>
      </c>
      <c r="O122" s="45">
        <v>3</v>
      </c>
      <c r="P122" s="46">
        <f t="shared" ca="1" si="3"/>
        <v>46008.502499305556</v>
      </c>
      <c r="Q122" s="45" t="str">
        <f t="shared" si="4"/>
        <v>MB</v>
      </c>
      <c r="R122" s="45"/>
      <c r="S122" s="45"/>
    </row>
    <row r="123" spans="1:19" ht="15.75" customHeight="1" x14ac:dyDescent="0.3">
      <c r="A123" s="16" t="s">
        <v>263</v>
      </c>
      <c r="B123" s="17">
        <v>45572</v>
      </c>
      <c r="C123" s="16" t="s">
        <v>90</v>
      </c>
      <c r="D123" s="16" t="s">
        <v>91</v>
      </c>
      <c r="E123" s="16" t="s">
        <v>32</v>
      </c>
      <c r="F123" s="16" t="s">
        <v>33</v>
      </c>
      <c r="G123" s="16" t="s">
        <v>34</v>
      </c>
      <c r="H123" s="16">
        <v>2</v>
      </c>
      <c r="I123" s="16">
        <v>59.99</v>
      </c>
      <c r="J123" s="16" t="s">
        <v>27</v>
      </c>
      <c r="K123" s="16" t="s">
        <v>22</v>
      </c>
      <c r="L123" s="16" t="s">
        <v>23</v>
      </c>
      <c r="M123" s="17">
        <v>44579</v>
      </c>
      <c r="N123" s="16">
        <v>119.98</v>
      </c>
      <c r="O123" s="45">
        <v>2</v>
      </c>
      <c r="P123" s="46">
        <f t="shared" ca="1" si="3"/>
        <v>46008.502499305556</v>
      </c>
      <c r="Q123" s="45" t="str">
        <f t="shared" si="4"/>
        <v>MG</v>
      </c>
      <c r="R123" s="45"/>
      <c r="S123" s="45"/>
    </row>
    <row r="124" spans="1:19" ht="15.75" customHeight="1" x14ac:dyDescent="0.3">
      <c r="A124" s="16" t="s">
        <v>264</v>
      </c>
      <c r="B124" s="17">
        <v>45572</v>
      </c>
      <c r="C124" s="16" t="s">
        <v>235</v>
      </c>
      <c r="D124" s="16" t="s">
        <v>236</v>
      </c>
      <c r="E124" s="16" t="s">
        <v>53</v>
      </c>
      <c r="F124" s="16" t="s">
        <v>54</v>
      </c>
      <c r="G124" s="16" t="s">
        <v>20</v>
      </c>
      <c r="H124" s="16">
        <v>4</v>
      </c>
      <c r="I124" s="16">
        <v>149.99</v>
      </c>
      <c r="J124" s="16" t="s">
        <v>27</v>
      </c>
      <c r="K124" s="16" t="s">
        <v>41</v>
      </c>
      <c r="L124" s="16" t="s">
        <v>28</v>
      </c>
      <c r="M124" s="17">
        <v>45076</v>
      </c>
      <c r="N124" s="16">
        <v>599.96</v>
      </c>
      <c r="O124" s="45">
        <v>1</v>
      </c>
      <c r="P124" s="46">
        <f t="shared" ca="1" si="3"/>
        <v>46008.502499305556</v>
      </c>
      <c r="Q124" s="45" t="str">
        <f t="shared" si="4"/>
        <v>SP</v>
      </c>
      <c r="R124" s="45"/>
      <c r="S124" s="45"/>
    </row>
    <row r="125" spans="1:19" ht="15.75" customHeight="1" x14ac:dyDescent="0.3">
      <c r="A125" s="16" t="s">
        <v>265</v>
      </c>
      <c r="B125" s="17">
        <v>45573</v>
      </c>
      <c r="C125" s="16" t="s">
        <v>212</v>
      </c>
      <c r="D125" s="16" t="s">
        <v>213</v>
      </c>
      <c r="E125" s="16" t="s">
        <v>81</v>
      </c>
      <c r="F125" s="16" t="s">
        <v>82</v>
      </c>
      <c r="G125" s="16" t="s">
        <v>20</v>
      </c>
      <c r="H125" s="16">
        <v>2</v>
      </c>
      <c r="I125" s="16">
        <v>699.99</v>
      </c>
      <c r="J125" s="16" t="s">
        <v>58</v>
      </c>
      <c r="K125" s="16" t="s">
        <v>64</v>
      </c>
      <c r="L125" s="16" t="s">
        <v>28</v>
      </c>
      <c r="M125" s="17">
        <v>45274</v>
      </c>
      <c r="N125" s="16">
        <v>1399.98</v>
      </c>
      <c r="O125" s="45">
        <v>0</v>
      </c>
      <c r="P125" s="46">
        <f t="shared" ca="1" si="3"/>
        <v>46008.502499305556</v>
      </c>
      <c r="Q125" s="45" t="str">
        <f t="shared" si="4"/>
        <v>EH</v>
      </c>
      <c r="R125" s="45"/>
      <c r="S125" s="45"/>
    </row>
    <row r="126" spans="1:19" ht="15.75" customHeight="1" x14ac:dyDescent="0.3">
      <c r="A126" s="16" t="s">
        <v>266</v>
      </c>
      <c r="B126" s="17">
        <v>45573</v>
      </c>
      <c r="C126" s="16" t="s">
        <v>232</v>
      </c>
      <c r="D126" s="16" t="s">
        <v>233</v>
      </c>
      <c r="E126" s="16" t="s">
        <v>45</v>
      </c>
      <c r="F126" s="16" t="s">
        <v>46</v>
      </c>
      <c r="G126" s="16" t="s">
        <v>47</v>
      </c>
      <c r="H126" s="16">
        <v>3</v>
      </c>
      <c r="I126" s="16">
        <v>149.99</v>
      </c>
      <c r="J126" s="16" t="s">
        <v>27</v>
      </c>
      <c r="K126" s="16" t="s">
        <v>36</v>
      </c>
      <c r="L126" s="16" t="s">
        <v>37</v>
      </c>
      <c r="M126" s="17">
        <v>44940</v>
      </c>
      <c r="N126" s="16">
        <v>449.97</v>
      </c>
      <c r="O126" s="45">
        <v>1</v>
      </c>
      <c r="P126" s="46">
        <f t="shared" ca="1" si="3"/>
        <v>46008.502499305556</v>
      </c>
      <c r="Q126" s="45" t="str">
        <f t="shared" si="4"/>
        <v>CE</v>
      </c>
      <c r="R126" s="45"/>
      <c r="S126" s="45"/>
    </row>
    <row r="127" spans="1:19" ht="15.75" customHeight="1" x14ac:dyDescent="0.3">
      <c r="A127" s="16" t="s">
        <v>267</v>
      </c>
      <c r="B127" s="17">
        <v>45576</v>
      </c>
      <c r="C127" s="16" t="s">
        <v>148</v>
      </c>
      <c r="D127" s="16" t="s">
        <v>149</v>
      </c>
      <c r="E127" s="16" t="s">
        <v>106</v>
      </c>
      <c r="F127" s="16" t="s">
        <v>107</v>
      </c>
      <c r="G127" s="16" t="s">
        <v>47</v>
      </c>
      <c r="H127" s="16">
        <v>3</v>
      </c>
      <c r="I127" s="16">
        <v>299.99</v>
      </c>
      <c r="J127" s="16" t="s">
        <v>27</v>
      </c>
      <c r="K127" s="16" t="s">
        <v>22</v>
      </c>
      <c r="L127" s="16" t="s">
        <v>37</v>
      </c>
      <c r="M127" s="17">
        <v>45174</v>
      </c>
      <c r="N127" s="16">
        <v>899.97</v>
      </c>
      <c r="O127" s="45">
        <v>1</v>
      </c>
      <c r="P127" s="46">
        <f t="shared" ca="1" si="3"/>
        <v>46008.502499305556</v>
      </c>
      <c r="Q127" s="45" t="str">
        <f t="shared" si="4"/>
        <v>DK</v>
      </c>
      <c r="R127" s="45"/>
      <c r="S127" s="45"/>
    </row>
    <row r="128" spans="1:19" ht="15.75" customHeight="1" x14ac:dyDescent="0.3">
      <c r="A128" s="16" t="s">
        <v>268</v>
      </c>
      <c r="B128" s="17">
        <v>45579</v>
      </c>
      <c r="C128" s="16" t="s">
        <v>84</v>
      </c>
      <c r="D128" s="16" t="s">
        <v>85</v>
      </c>
      <c r="E128" s="16" t="s">
        <v>62</v>
      </c>
      <c r="F128" s="16" t="s">
        <v>63</v>
      </c>
      <c r="G128" s="16" t="s">
        <v>20</v>
      </c>
      <c r="H128" s="16">
        <v>3</v>
      </c>
      <c r="I128" s="16">
        <v>899.99</v>
      </c>
      <c r="J128" s="16" t="s">
        <v>35</v>
      </c>
      <c r="K128" s="16" t="s">
        <v>51</v>
      </c>
      <c r="L128" s="16" t="s">
        <v>23</v>
      </c>
      <c r="M128" s="17">
        <v>45215</v>
      </c>
      <c r="N128" s="16">
        <v>2699.97</v>
      </c>
      <c r="O128" s="45">
        <v>0</v>
      </c>
      <c r="P128" s="46">
        <f t="shared" ca="1" si="3"/>
        <v>46008.502499305556</v>
      </c>
      <c r="Q128" s="45" t="str">
        <f t="shared" si="4"/>
        <v>GA</v>
      </c>
      <c r="R128" s="45"/>
      <c r="S128" s="45"/>
    </row>
    <row r="129" spans="1:19" ht="15.75" customHeight="1" x14ac:dyDescent="0.3">
      <c r="A129" s="16" t="s">
        <v>269</v>
      </c>
      <c r="B129" s="17">
        <v>45581</v>
      </c>
      <c r="C129" s="16" t="s">
        <v>97</v>
      </c>
      <c r="D129" s="16" t="s">
        <v>98</v>
      </c>
      <c r="E129" s="16" t="s">
        <v>81</v>
      </c>
      <c r="F129" s="16" t="s">
        <v>82</v>
      </c>
      <c r="G129" s="16" t="s">
        <v>20</v>
      </c>
      <c r="H129" s="16">
        <v>5</v>
      </c>
      <c r="I129" s="16">
        <v>699.99</v>
      </c>
      <c r="J129" s="16" t="s">
        <v>21</v>
      </c>
      <c r="K129" s="16" t="s">
        <v>64</v>
      </c>
      <c r="L129" s="16" t="s">
        <v>37</v>
      </c>
      <c r="M129" s="17">
        <v>45008</v>
      </c>
      <c r="N129" s="16">
        <v>3499.95</v>
      </c>
      <c r="O129" s="45">
        <v>1</v>
      </c>
      <c r="P129" s="46">
        <f t="shared" ca="1" si="3"/>
        <v>46008.502499305556</v>
      </c>
      <c r="Q129" s="45" t="str">
        <f t="shared" si="4"/>
        <v>BY</v>
      </c>
      <c r="R129" s="45"/>
      <c r="S129" s="45"/>
    </row>
    <row r="130" spans="1:19" ht="15.75" customHeight="1" x14ac:dyDescent="0.3">
      <c r="A130" s="16" t="s">
        <v>270</v>
      </c>
      <c r="B130" s="17">
        <v>45581</v>
      </c>
      <c r="C130" s="16" t="s">
        <v>172</v>
      </c>
      <c r="D130" s="16" t="s">
        <v>173</v>
      </c>
      <c r="E130" s="16" t="s">
        <v>81</v>
      </c>
      <c r="F130" s="16" t="s">
        <v>82</v>
      </c>
      <c r="G130" s="16" t="s">
        <v>20</v>
      </c>
      <c r="H130" s="16">
        <v>4</v>
      </c>
      <c r="I130" s="16">
        <v>699.99</v>
      </c>
      <c r="J130" s="16" t="s">
        <v>27</v>
      </c>
      <c r="K130" s="16" t="s">
        <v>22</v>
      </c>
      <c r="L130" s="16" t="s">
        <v>23</v>
      </c>
      <c r="M130" s="17">
        <v>45385</v>
      </c>
      <c r="N130" s="16">
        <v>2799.96</v>
      </c>
      <c r="O130" s="45">
        <v>0</v>
      </c>
      <c r="P130" s="46">
        <f t="shared" ca="1" si="3"/>
        <v>46008.502499305556</v>
      </c>
      <c r="Q130" s="45" t="str">
        <f t="shared" si="4"/>
        <v>RR</v>
      </c>
      <c r="R130" s="45"/>
      <c r="S130" s="45"/>
    </row>
    <row r="131" spans="1:19" ht="15.75" customHeight="1" x14ac:dyDescent="0.3">
      <c r="A131" s="16" t="s">
        <v>271</v>
      </c>
      <c r="B131" s="17">
        <v>45581</v>
      </c>
      <c r="C131" s="16" t="s">
        <v>151</v>
      </c>
      <c r="D131" s="16" t="s">
        <v>152</v>
      </c>
      <c r="E131" s="16" t="s">
        <v>62</v>
      </c>
      <c r="F131" s="16" t="s">
        <v>63</v>
      </c>
      <c r="G131" s="16" t="s">
        <v>20</v>
      </c>
      <c r="H131" s="16">
        <v>1</v>
      </c>
      <c r="I131" s="16">
        <v>899.99</v>
      </c>
      <c r="J131" s="16" t="s">
        <v>27</v>
      </c>
      <c r="K131" s="16" t="s">
        <v>64</v>
      </c>
      <c r="L131" s="16" t="s">
        <v>37</v>
      </c>
      <c r="M131" s="17">
        <v>45369</v>
      </c>
      <c r="N131" s="16">
        <v>899.99</v>
      </c>
      <c r="O131" s="45">
        <v>0</v>
      </c>
      <c r="P131" s="46">
        <f t="shared" ref="P131:P194" ca="1" si="5">NOW()</f>
        <v>46008.502499305556</v>
      </c>
      <c r="Q131" s="45" t="str">
        <f t="shared" ref="Q131:Q194" si="6">IFERROR(CONCATENATE(LEFT(D131, 1), MID(D131, FIND(" ", D131) + 1, 1)), LEFT(D131, 2))</f>
        <v>SB</v>
      </c>
      <c r="R131" s="45"/>
      <c r="S131" s="45"/>
    </row>
    <row r="132" spans="1:19" ht="15.75" customHeight="1" x14ac:dyDescent="0.3">
      <c r="A132" s="16" t="s">
        <v>272</v>
      </c>
      <c r="B132" s="17">
        <v>45583</v>
      </c>
      <c r="C132" s="16" t="s">
        <v>227</v>
      </c>
      <c r="D132" s="16" t="s">
        <v>228</v>
      </c>
      <c r="E132" s="16" t="s">
        <v>53</v>
      </c>
      <c r="F132" s="16" t="s">
        <v>54</v>
      </c>
      <c r="G132" s="16" t="s">
        <v>20</v>
      </c>
      <c r="H132" s="16">
        <v>2</v>
      </c>
      <c r="I132" s="16">
        <v>149.99</v>
      </c>
      <c r="J132" s="16" t="s">
        <v>27</v>
      </c>
      <c r="K132" s="16" t="s">
        <v>51</v>
      </c>
      <c r="L132" s="16" t="s">
        <v>23</v>
      </c>
      <c r="M132" s="17">
        <v>44916</v>
      </c>
      <c r="N132" s="16">
        <v>299.98</v>
      </c>
      <c r="O132" s="45">
        <v>1</v>
      </c>
      <c r="P132" s="46">
        <f t="shared" ca="1" si="5"/>
        <v>46008.502499305556</v>
      </c>
      <c r="Q132" s="45" t="str">
        <f t="shared" si="6"/>
        <v>LR</v>
      </c>
      <c r="R132" s="45"/>
      <c r="S132" s="45"/>
    </row>
    <row r="133" spans="1:19" ht="15.75" customHeight="1" x14ac:dyDescent="0.3">
      <c r="A133" s="16" t="s">
        <v>273</v>
      </c>
      <c r="B133" s="17">
        <v>45586</v>
      </c>
      <c r="C133" s="16" t="s">
        <v>227</v>
      </c>
      <c r="D133" s="16" t="s">
        <v>228</v>
      </c>
      <c r="E133" s="16" t="s">
        <v>118</v>
      </c>
      <c r="F133" s="16" t="s">
        <v>119</v>
      </c>
      <c r="G133" s="16" t="s">
        <v>20</v>
      </c>
      <c r="H133" s="16">
        <v>3</v>
      </c>
      <c r="I133" s="16">
        <v>89.99</v>
      </c>
      <c r="J133" s="16" t="s">
        <v>35</v>
      </c>
      <c r="K133" s="16" t="s">
        <v>22</v>
      </c>
      <c r="L133" s="16" t="s">
        <v>23</v>
      </c>
      <c r="M133" s="17">
        <v>44551</v>
      </c>
      <c r="N133" s="16">
        <v>269.97000000000003</v>
      </c>
      <c r="O133" s="45">
        <v>2</v>
      </c>
      <c r="P133" s="46">
        <f t="shared" ca="1" si="5"/>
        <v>46008.502499305556</v>
      </c>
      <c r="Q133" s="45" t="str">
        <f t="shared" si="6"/>
        <v>LR</v>
      </c>
      <c r="R133" s="45"/>
      <c r="S133" s="45"/>
    </row>
    <row r="134" spans="1:19" ht="15.75" customHeight="1" x14ac:dyDescent="0.3">
      <c r="A134" s="16" t="s">
        <v>274</v>
      </c>
      <c r="B134" s="17">
        <v>45588</v>
      </c>
      <c r="C134" s="16" t="s">
        <v>39</v>
      </c>
      <c r="D134" s="16" t="s">
        <v>40</v>
      </c>
      <c r="E134" s="16" t="s">
        <v>53</v>
      </c>
      <c r="F134" s="16" t="s">
        <v>54</v>
      </c>
      <c r="G134" s="16" t="s">
        <v>20</v>
      </c>
      <c r="H134" s="16">
        <v>2</v>
      </c>
      <c r="I134" s="16">
        <v>149.99</v>
      </c>
      <c r="J134" s="16" t="s">
        <v>35</v>
      </c>
      <c r="K134" s="16" t="s">
        <v>22</v>
      </c>
      <c r="L134" s="16" t="s">
        <v>23</v>
      </c>
      <c r="M134" s="17">
        <v>44473</v>
      </c>
      <c r="N134" s="16">
        <v>299.98</v>
      </c>
      <c r="O134" s="45">
        <v>3</v>
      </c>
      <c r="P134" s="46">
        <f t="shared" ca="1" si="5"/>
        <v>46008.502499305556</v>
      </c>
      <c r="Q134" s="45" t="str">
        <f t="shared" si="6"/>
        <v>KB</v>
      </c>
      <c r="R134" s="45"/>
      <c r="S134" s="45"/>
    </row>
    <row r="135" spans="1:19" ht="15.75" customHeight="1" x14ac:dyDescent="0.3">
      <c r="A135" s="16" t="s">
        <v>275</v>
      </c>
      <c r="B135" s="17">
        <v>45588</v>
      </c>
      <c r="C135" s="16" t="s">
        <v>155</v>
      </c>
      <c r="D135" s="16" t="s">
        <v>156</v>
      </c>
      <c r="E135" s="16" t="s">
        <v>81</v>
      </c>
      <c r="F135" s="16" t="s">
        <v>82</v>
      </c>
      <c r="G135" s="16" t="s">
        <v>20</v>
      </c>
      <c r="H135" s="16">
        <v>2</v>
      </c>
      <c r="I135" s="16">
        <v>699.99</v>
      </c>
      <c r="J135" s="16" t="s">
        <v>21</v>
      </c>
      <c r="K135" s="16" t="s">
        <v>22</v>
      </c>
      <c r="L135" s="16" t="s">
        <v>23</v>
      </c>
      <c r="M135" s="17">
        <v>44992</v>
      </c>
      <c r="N135" s="16">
        <v>1399.98</v>
      </c>
      <c r="O135" s="45">
        <v>1</v>
      </c>
      <c r="P135" s="46">
        <f t="shared" ca="1" si="5"/>
        <v>46008.502499305556</v>
      </c>
      <c r="Q135" s="45" t="str">
        <f t="shared" si="6"/>
        <v>SD</v>
      </c>
      <c r="R135" s="45"/>
      <c r="S135" s="45"/>
    </row>
    <row r="136" spans="1:19" ht="15.75" customHeight="1" x14ac:dyDescent="0.3">
      <c r="A136" s="16" t="s">
        <v>276</v>
      </c>
      <c r="B136" s="17">
        <v>45589</v>
      </c>
      <c r="C136" s="16" t="s">
        <v>159</v>
      </c>
      <c r="D136" s="16" t="s">
        <v>160</v>
      </c>
      <c r="E136" s="16" t="s">
        <v>81</v>
      </c>
      <c r="F136" s="16" t="s">
        <v>82</v>
      </c>
      <c r="G136" s="16" t="s">
        <v>20</v>
      </c>
      <c r="H136" s="16">
        <v>5</v>
      </c>
      <c r="I136" s="16">
        <v>699.99</v>
      </c>
      <c r="J136" s="16" t="s">
        <v>21</v>
      </c>
      <c r="K136" s="16" t="s">
        <v>41</v>
      </c>
      <c r="L136" s="16" t="s">
        <v>28</v>
      </c>
      <c r="M136" s="17">
        <v>44635</v>
      </c>
      <c r="N136" s="16">
        <v>3499.95</v>
      </c>
      <c r="O136" s="45">
        <v>2</v>
      </c>
      <c r="P136" s="46">
        <f t="shared" ca="1" si="5"/>
        <v>46008.502499305556</v>
      </c>
      <c r="Q136" s="45" t="str">
        <f t="shared" si="6"/>
        <v>BC</v>
      </c>
      <c r="R136" s="45"/>
      <c r="S136" s="45"/>
    </row>
    <row r="137" spans="1:19" ht="15.75" customHeight="1" x14ac:dyDescent="0.3">
      <c r="A137" s="16" t="s">
        <v>277</v>
      </c>
      <c r="B137" s="17">
        <v>45592</v>
      </c>
      <c r="C137" s="16" t="s">
        <v>172</v>
      </c>
      <c r="D137" s="16" t="s">
        <v>173</v>
      </c>
      <c r="E137" s="16" t="s">
        <v>118</v>
      </c>
      <c r="F137" s="16" t="s">
        <v>119</v>
      </c>
      <c r="G137" s="16" t="s">
        <v>20</v>
      </c>
      <c r="H137" s="16">
        <v>3</v>
      </c>
      <c r="I137" s="16">
        <v>89.99</v>
      </c>
      <c r="J137" s="16" t="s">
        <v>27</v>
      </c>
      <c r="K137" s="16" t="s">
        <v>41</v>
      </c>
      <c r="L137" s="16" t="s">
        <v>37</v>
      </c>
      <c r="M137" s="17">
        <v>44615</v>
      </c>
      <c r="N137" s="16">
        <v>269.97000000000003</v>
      </c>
      <c r="O137" s="45">
        <v>2</v>
      </c>
      <c r="P137" s="46">
        <f t="shared" ca="1" si="5"/>
        <v>46008.502499305556</v>
      </c>
      <c r="Q137" s="45" t="str">
        <f t="shared" si="6"/>
        <v>RR</v>
      </c>
      <c r="R137" s="45"/>
      <c r="S137" s="45"/>
    </row>
    <row r="138" spans="1:19" ht="15.75" customHeight="1" x14ac:dyDescent="0.3">
      <c r="A138" s="16" t="s">
        <v>278</v>
      </c>
      <c r="B138" s="17">
        <v>45597</v>
      </c>
      <c r="C138" s="16" t="s">
        <v>16</v>
      </c>
      <c r="D138" s="16" t="s">
        <v>17</v>
      </c>
      <c r="E138" s="16" t="s">
        <v>18</v>
      </c>
      <c r="F138" s="16" t="s">
        <v>19</v>
      </c>
      <c r="G138" s="16" t="s">
        <v>20</v>
      </c>
      <c r="H138" s="16">
        <v>5</v>
      </c>
      <c r="I138" s="16">
        <v>249.99</v>
      </c>
      <c r="J138" s="16" t="s">
        <v>27</v>
      </c>
      <c r="K138" s="16" t="s">
        <v>36</v>
      </c>
      <c r="L138" s="16" t="s">
        <v>37</v>
      </c>
      <c r="M138" s="17">
        <v>44881</v>
      </c>
      <c r="N138" s="16">
        <v>1249.95</v>
      </c>
      <c r="O138" s="45">
        <v>1</v>
      </c>
      <c r="P138" s="46">
        <f t="shared" ca="1" si="5"/>
        <v>46008.502499305556</v>
      </c>
      <c r="Q138" s="45" t="str">
        <f t="shared" si="6"/>
        <v>PB</v>
      </c>
      <c r="R138" s="45"/>
      <c r="S138" s="45"/>
    </row>
    <row r="139" spans="1:19" ht="15.75" customHeight="1" x14ac:dyDescent="0.3">
      <c r="A139" s="16" t="s">
        <v>279</v>
      </c>
      <c r="B139" s="17">
        <v>45600</v>
      </c>
      <c r="C139" s="16" t="s">
        <v>66</v>
      </c>
      <c r="D139" s="16" t="s">
        <v>67</v>
      </c>
      <c r="E139" s="16" t="s">
        <v>106</v>
      </c>
      <c r="F139" s="16" t="s">
        <v>107</v>
      </c>
      <c r="G139" s="16" t="s">
        <v>47</v>
      </c>
      <c r="H139" s="16">
        <v>3</v>
      </c>
      <c r="I139" s="16">
        <v>299.99</v>
      </c>
      <c r="J139" s="16" t="s">
        <v>27</v>
      </c>
      <c r="K139" s="16" t="s">
        <v>36</v>
      </c>
      <c r="L139" s="16" t="s">
        <v>37</v>
      </c>
      <c r="M139" s="17">
        <v>44502</v>
      </c>
      <c r="N139" s="16">
        <v>899.97</v>
      </c>
      <c r="O139" s="45">
        <v>3</v>
      </c>
      <c r="P139" s="46">
        <f t="shared" ca="1" si="5"/>
        <v>46008.502499305556</v>
      </c>
      <c r="Q139" s="45" t="str">
        <f t="shared" si="6"/>
        <v>KH</v>
      </c>
      <c r="R139" s="45"/>
      <c r="S139" s="45"/>
    </row>
    <row r="140" spans="1:19" ht="15.75" customHeight="1" x14ac:dyDescent="0.3">
      <c r="A140" s="16" t="s">
        <v>280</v>
      </c>
      <c r="B140" s="17">
        <v>45603</v>
      </c>
      <c r="C140" s="16" t="s">
        <v>100</v>
      </c>
      <c r="D140" s="16" t="s">
        <v>101</v>
      </c>
      <c r="E140" s="16" t="s">
        <v>118</v>
      </c>
      <c r="F140" s="16" t="s">
        <v>119</v>
      </c>
      <c r="G140" s="16" t="s">
        <v>20</v>
      </c>
      <c r="H140" s="16">
        <v>3</v>
      </c>
      <c r="I140" s="16">
        <v>89.99</v>
      </c>
      <c r="J140" s="16" t="s">
        <v>27</v>
      </c>
      <c r="K140" s="16" t="s">
        <v>41</v>
      </c>
      <c r="L140" s="16" t="s">
        <v>28</v>
      </c>
      <c r="M140" s="17">
        <v>44420</v>
      </c>
      <c r="N140" s="16">
        <v>269.97000000000003</v>
      </c>
      <c r="O140" s="45">
        <v>3</v>
      </c>
      <c r="P140" s="46">
        <f t="shared" ca="1" si="5"/>
        <v>46008.502499305556</v>
      </c>
      <c r="Q140" s="45" t="str">
        <f t="shared" si="6"/>
        <v>PM</v>
      </c>
      <c r="R140" s="45"/>
      <c r="S140" s="45"/>
    </row>
    <row r="141" spans="1:19" ht="15.75" customHeight="1" x14ac:dyDescent="0.3">
      <c r="A141" s="16" t="s">
        <v>281</v>
      </c>
      <c r="B141" s="17">
        <v>45604</v>
      </c>
      <c r="C141" s="16" t="s">
        <v>90</v>
      </c>
      <c r="D141" s="16" t="s">
        <v>91</v>
      </c>
      <c r="E141" s="16" t="s">
        <v>45</v>
      </c>
      <c r="F141" s="16" t="s">
        <v>46</v>
      </c>
      <c r="G141" s="16" t="s">
        <v>47</v>
      </c>
      <c r="H141" s="16">
        <v>2</v>
      </c>
      <c r="I141" s="16">
        <v>149.99</v>
      </c>
      <c r="J141" s="16" t="s">
        <v>27</v>
      </c>
      <c r="K141" s="16" t="s">
        <v>51</v>
      </c>
      <c r="L141" s="16" t="s">
        <v>28</v>
      </c>
      <c r="M141" s="17">
        <v>44848</v>
      </c>
      <c r="N141" s="16">
        <v>299.98</v>
      </c>
      <c r="O141" s="45">
        <v>2</v>
      </c>
      <c r="P141" s="46">
        <f t="shared" ca="1" si="5"/>
        <v>46008.502499305556</v>
      </c>
      <c r="Q141" s="45" t="str">
        <f t="shared" si="6"/>
        <v>MG</v>
      </c>
      <c r="R141" s="45"/>
      <c r="S141" s="45"/>
    </row>
    <row r="142" spans="1:19" ht="15.75" customHeight="1" x14ac:dyDescent="0.3">
      <c r="A142" s="16" t="s">
        <v>282</v>
      </c>
      <c r="B142" s="17">
        <v>45605</v>
      </c>
      <c r="C142" s="16" t="s">
        <v>186</v>
      </c>
      <c r="D142" s="16" t="s">
        <v>187</v>
      </c>
      <c r="E142" s="16" t="s">
        <v>18</v>
      </c>
      <c r="F142" s="16" t="s">
        <v>19</v>
      </c>
      <c r="G142" s="16" t="s">
        <v>20</v>
      </c>
      <c r="H142" s="16">
        <v>1</v>
      </c>
      <c r="I142" s="16">
        <v>249.99</v>
      </c>
      <c r="J142" s="16" t="s">
        <v>27</v>
      </c>
      <c r="K142" s="16" t="s">
        <v>41</v>
      </c>
      <c r="L142" s="16" t="s">
        <v>28</v>
      </c>
      <c r="M142" s="17">
        <v>44828</v>
      </c>
      <c r="N142" s="16">
        <v>249.99</v>
      </c>
      <c r="O142" s="45">
        <v>2</v>
      </c>
      <c r="P142" s="46">
        <f t="shared" ca="1" si="5"/>
        <v>46008.502499305556</v>
      </c>
      <c r="Q142" s="45" t="str">
        <f t="shared" si="6"/>
        <v>MW</v>
      </c>
      <c r="R142" s="45"/>
      <c r="S142" s="45"/>
    </row>
    <row r="143" spans="1:19" ht="15.75" customHeight="1" x14ac:dyDescent="0.3">
      <c r="A143" s="16" t="s">
        <v>283</v>
      </c>
      <c r="B143" s="17">
        <v>45607</v>
      </c>
      <c r="C143" s="16" t="s">
        <v>73</v>
      </c>
      <c r="D143" s="16" t="s">
        <v>74</v>
      </c>
      <c r="E143" s="16" t="s">
        <v>53</v>
      </c>
      <c r="F143" s="16" t="s">
        <v>54</v>
      </c>
      <c r="G143" s="16" t="s">
        <v>20</v>
      </c>
      <c r="H143" s="16">
        <v>3</v>
      </c>
      <c r="I143" s="16">
        <v>149.99</v>
      </c>
      <c r="J143" s="16" t="s">
        <v>21</v>
      </c>
      <c r="K143" s="16" t="s">
        <v>41</v>
      </c>
      <c r="L143" s="16" t="s">
        <v>23</v>
      </c>
      <c r="M143" s="17">
        <v>44769</v>
      </c>
      <c r="N143" s="16">
        <v>449.97</v>
      </c>
      <c r="O143" s="45">
        <v>2</v>
      </c>
      <c r="P143" s="46">
        <f t="shared" ca="1" si="5"/>
        <v>46008.502499305556</v>
      </c>
      <c r="Q143" s="45" t="str">
        <f t="shared" si="6"/>
        <v>PR</v>
      </c>
      <c r="R143" s="45"/>
      <c r="S143" s="45"/>
    </row>
    <row r="144" spans="1:19" ht="15.75" customHeight="1" x14ac:dyDescent="0.3">
      <c r="A144" s="16" t="s">
        <v>284</v>
      </c>
      <c r="B144" s="17">
        <v>45607</v>
      </c>
      <c r="C144" s="16" t="s">
        <v>16</v>
      </c>
      <c r="D144" s="16" t="s">
        <v>17</v>
      </c>
      <c r="E144" s="16" t="s">
        <v>32</v>
      </c>
      <c r="F144" s="16" t="s">
        <v>33</v>
      </c>
      <c r="G144" s="16" t="s">
        <v>34</v>
      </c>
      <c r="H144" s="16">
        <v>5</v>
      </c>
      <c r="I144" s="16">
        <v>59.99</v>
      </c>
      <c r="J144" s="16" t="s">
        <v>35</v>
      </c>
      <c r="K144" s="16" t="s">
        <v>51</v>
      </c>
      <c r="L144" s="16" t="s">
        <v>28</v>
      </c>
      <c r="M144" s="17">
        <v>44694</v>
      </c>
      <c r="N144" s="16">
        <v>299.95</v>
      </c>
      <c r="O144" s="45">
        <v>2</v>
      </c>
      <c r="P144" s="46">
        <f t="shared" ca="1" si="5"/>
        <v>46008.502499305556</v>
      </c>
      <c r="Q144" s="45" t="str">
        <f t="shared" si="6"/>
        <v>PB</v>
      </c>
      <c r="R144" s="45"/>
      <c r="S144" s="45"/>
    </row>
    <row r="145" spans="1:19" ht="15.75" customHeight="1" x14ac:dyDescent="0.3">
      <c r="A145" s="16" t="s">
        <v>285</v>
      </c>
      <c r="B145" s="17">
        <v>45607</v>
      </c>
      <c r="C145" s="16" t="s">
        <v>100</v>
      </c>
      <c r="D145" s="16" t="s">
        <v>101</v>
      </c>
      <c r="E145" s="16" t="s">
        <v>18</v>
      </c>
      <c r="F145" s="16" t="s">
        <v>19</v>
      </c>
      <c r="G145" s="16" t="s">
        <v>20</v>
      </c>
      <c r="H145" s="16">
        <v>4</v>
      </c>
      <c r="I145" s="16">
        <v>249.99</v>
      </c>
      <c r="J145" s="16" t="s">
        <v>27</v>
      </c>
      <c r="K145" s="16" t="s">
        <v>51</v>
      </c>
      <c r="L145" s="16" t="s">
        <v>37</v>
      </c>
      <c r="M145" s="17">
        <v>44659</v>
      </c>
      <c r="N145" s="16">
        <v>999.96</v>
      </c>
      <c r="O145" s="45">
        <v>2</v>
      </c>
      <c r="P145" s="46">
        <f t="shared" ca="1" si="5"/>
        <v>46008.502499305556</v>
      </c>
      <c r="Q145" s="45" t="str">
        <f t="shared" si="6"/>
        <v>PM</v>
      </c>
      <c r="R145" s="45"/>
      <c r="S145" s="45"/>
    </row>
    <row r="146" spans="1:19" ht="15.75" customHeight="1" x14ac:dyDescent="0.3">
      <c r="A146" s="16" t="s">
        <v>286</v>
      </c>
      <c r="B146" s="17">
        <v>45608</v>
      </c>
      <c r="C146" s="16" t="s">
        <v>155</v>
      </c>
      <c r="D146" s="16" t="s">
        <v>156</v>
      </c>
      <c r="E146" s="16" t="s">
        <v>45</v>
      </c>
      <c r="F146" s="16" t="s">
        <v>46</v>
      </c>
      <c r="G146" s="16" t="s">
        <v>47</v>
      </c>
      <c r="H146" s="16">
        <v>5</v>
      </c>
      <c r="I146" s="16">
        <v>149.99</v>
      </c>
      <c r="J146" s="16" t="s">
        <v>35</v>
      </c>
      <c r="K146" s="16" t="s">
        <v>22</v>
      </c>
      <c r="L146" s="16" t="s">
        <v>23</v>
      </c>
      <c r="M146" s="17">
        <v>44901</v>
      </c>
      <c r="N146" s="16">
        <v>749.95</v>
      </c>
      <c r="O146" s="45">
        <v>1</v>
      </c>
      <c r="P146" s="46">
        <f t="shared" ca="1" si="5"/>
        <v>46008.502499305556</v>
      </c>
      <c r="Q146" s="45" t="str">
        <f t="shared" si="6"/>
        <v>SD</v>
      </c>
      <c r="R146" s="45"/>
      <c r="S146" s="45"/>
    </row>
    <row r="147" spans="1:19" ht="15.75" customHeight="1" x14ac:dyDescent="0.3">
      <c r="A147" s="16" t="s">
        <v>287</v>
      </c>
      <c r="B147" s="17">
        <v>45608</v>
      </c>
      <c r="C147" s="16" t="s">
        <v>84</v>
      </c>
      <c r="D147" s="16" t="s">
        <v>85</v>
      </c>
      <c r="E147" s="16" t="s">
        <v>32</v>
      </c>
      <c r="F147" s="16" t="s">
        <v>33</v>
      </c>
      <c r="G147" s="16" t="s">
        <v>34</v>
      </c>
      <c r="H147" s="16">
        <v>3</v>
      </c>
      <c r="I147" s="16">
        <v>59.99</v>
      </c>
      <c r="J147" s="16" t="s">
        <v>58</v>
      </c>
      <c r="K147" s="16" t="s">
        <v>36</v>
      </c>
      <c r="L147" s="16" t="s">
        <v>37</v>
      </c>
      <c r="M147" s="17">
        <v>45260</v>
      </c>
      <c r="N147" s="16">
        <v>179.97</v>
      </c>
      <c r="O147" s="45">
        <v>0</v>
      </c>
      <c r="P147" s="46">
        <f t="shared" ca="1" si="5"/>
        <v>46008.502499305556</v>
      </c>
      <c r="Q147" s="45" t="str">
        <f t="shared" si="6"/>
        <v>GA</v>
      </c>
      <c r="R147" s="45"/>
      <c r="S147" s="45"/>
    </row>
    <row r="148" spans="1:19" ht="15.75" customHeight="1" x14ac:dyDescent="0.3">
      <c r="A148" s="16" t="s">
        <v>288</v>
      </c>
      <c r="B148" s="17">
        <v>45613</v>
      </c>
      <c r="C148" s="16" t="s">
        <v>235</v>
      </c>
      <c r="D148" s="16" t="s">
        <v>236</v>
      </c>
      <c r="E148" s="16" t="s">
        <v>45</v>
      </c>
      <c r="F148" s="16" t="s">
        <v>46</v>
      </c>
      <c r="G148" s="16" t="s">
        <v>47</v>
      </c>
      <c r="H148" s="16">
        <v>5</v>
      </c>
      <c r="I148" s="16">
        <v>149.99</v>
      </c>
      <c r="J148" s="16" t="s">
        <v>21</v>
      </c>
      <c r="K148" s="16" t="s">
        <v>41</v>
      </c>
      <c r="L148" s="16" t="s">
        <v>23</v>
      </c>
      <c r="M148" s="17">
        <v>44869</v>
      </c>
      <c r="N148" s="16">
        <v>749.95</v>
      </c>
      <c r="O148" s="45">
        <v>2</v>
      </c>
      <c r="P148" s="46">
        <f t="shared" ca="1" si="5"/>
        <v>46008.502499305556</v>
      </c>
      <c r="Q148" s="45" t="str">
        <f t="shared" si="6"/>
        <v>SP</v>
      </c>
      <c r="R148" s="45"/>
      <c r="S148" s="45"/>
    </row>
    <row r="149" spans="1:19" ht="15.75" customHeight="1" x14ac:dyDescent="0.3">
      <c r="A149" s="16" t="s">
        <v>289</v>
      </c>
      <c r="B149" s="17">
        <v>45613</v>
      </c>
      <c r="C149" s="16" t="s">
        <v>87</v>
      </c>
      <c r="D149" s="16" t="s">
        <v>88</v>
      </c>
      <c r="E149" s="16" t="s">
        <v>81</v>
      </c>
      <c r="F149" s="16" t="s">
        <v>82</v>
      </c>
      <c r="G149" s="16" t="s">
        <v>20</v>
      </c>
      <c r="H149" s="16">
        <v>2</v>
      </c>
      <c r="I149" s="16">
        <v>699.99</v>
      </c>
      <c r="J149" s="16" t="s">
        <v>35</v>
      </c>
      <c r="K149" s="16" t="s">
        <v>51</v>
      </c>
      <c r="L149" s="16" t="s">
        <v>37</v>
      </c>
      <c r="M149" s="17">
        <v>44770</v>
      </c>
      <c r="N149" s="16">
        <v>1399.98</v>
      </c>
      <c r="O149" s="45">
        <v>2</v>
      </c>
      <c r="P149" s="46">
        <f t="shared" ca="1" si="5"/>
        <v>46008.502499305556</v>
      </c>
      <c r="Q149" s="45" t="str">
        <f t="shared" si="6"/>
        <v>MC</v>
      </c>
      <c r="R149" s="45"/>
      <c r="S149" s="45"/>
    </row>
    <row r="150" spans="1:19" ht="15.75" customHeight="1" x14ac:dyDescent="0.3">
      <c r="A150" s="16" t="s">
        <v>290</v>
      </c>
      <c r="B150" s="17">
        <v>45617</v>
      </c>
      <c r="C150" s="16" t="s">
        <v>124</v>
      </c>
      <c r="D150" s="16" t="s">
        <v>125</v>
      </c>
      <c r="E150" s="16" t="s">
        <v>127</v>
      </c>
      <c r="F150" s="16" t="s">
        <v>128</v>
      </c>
      <c r="G150" s="16" t="s">
        <v>47</v>
      </c>
      <c r="H150" s="16">
        <v>4</v>
      </c>
      <c r="I150" s="16">
        <v>199.99</v>
      </c>
      <c r="J150" s="16" t="s">
        <v>58</v>
      </c>
      <c r="K150" s="16" t="s">
        <v>22</v>
      </c>
      <c r="L150" s="16" t="s">
        <v>28</v>
      </c>
      <c r="M150" s="17">
        <v>44427</v>
      </c>
      <c r="N150" s="16">
        <v>799.96</v>
      </c>
      <c r="O150" s="45">
        <v>3</v>
      </c>
      <c r="P150" s="46">
        <f t="shared" ca="1" si="5"/>
        <v>46008.502499305556</v>
      </c>
      <c r="Q150" s="45" t="str">
        <f t="shared" si="6"/>
        <v>EM</v>
      </c>
      <c r="R150" s="45"/>
      <c r="S150" s="45"/>
    </row>
    <row r="151" spans="1:19" ht="15.75" customHeight="1" x14ac:dyDescent="0.3">
      <c r="A151" s="16" t="s">
        <v>291</v>
      </c>
      <c r="B151" s="17">
        <v>45619</v>
      </c>
      <c r="C151" s="16" t="s">
        <v>193</v>
      </c>
      <c r="D151" s="16" t="s">
        <v>194</v>
      </c>
      <c r="E151" s="16" t="s">
        <v>32</v>
      </c>
      <c r="F151" s="16" t="s">
        <v>33</v>
      </c>
      <c r="G151" s="16" t="s">
        <v>34</v>
      </c>
      <c r="H151" s="16">
        <v>1</v>
      </c>
      <c r="I151" s="16">
        <v>59.99</v>
      </c>
      <c r="J151" s="16" t="s">
        <v>58</v>
      </c>
      <c r="K151" s="16" t="s">
        <v>51</v>
      </c>
      <c r="L151" s="16" t="s">
        <v>37</v>
      </c>
      <c r="M151" s="17">
        <v>44560</v>
      </c>
      <c r="N151" s="16">
        <v>59.99</v>
      </c>
      <c r="O151" s="45">
        <v>2</v>
      </c>
      <c r="P151" s="46">
        <f t="shared" ca="1" si="5"/>
        <v>46008.502499305556</v>
      </c>
      <c r="Q151" s="45" t="str">
        <f t="shared" si="6"/>
        <v>FT</v>
      </c>
      <c r="R151" s="45"/>
      <c r="S151" s="45"/>
    </row>
    <row r="152" spans="1:19" ht="15.75" customHeight="1" x14ac:dyDescent="0.3">
      <c r="A152" s="16" t="s">
        <v>292</v>
      </c>
      <c r="B152" s="17">
        <v>45619</v>
      </c>
      <c r="C152" s="16" t="s">
        <v>155</v>
      </c>
      <c r="D152" s="16" t="s">
        <v>156</v>
      </c>
      <c r="E152" s="16" t="s">
        <v>81</v>
      </c>
      <c r="F152" s="16" t="s">
        <v>82</v>
      </c>
      <c r="G152" s="16" t="s">
        <v>20</v>
      </c>
      <c r="H152" s="16">
        <v>3</v>
      </c>
      <c r="I152" s="16">
        <v>699.99</v>
      </c>
      <c r="J152" s="16" t="s">
        <v>35</v>
      </c>
      <c r="K152" s="16" t="s">
        <v>51</v>
      </c>
      <c r="L152" s="16" t="s">
        <v>37</v>
      </c>
      <c r="M152" s="17">
        <v>44583</v>
      </c>
      <c r="N152" s="16">
        <v>2099.9699999999998</v>
      </c>
      <c r="O152" s="45">
        <v>2</v>
      </c>
      <c r="P152" s="46">
        <f t="shared" ca="1" si="5"/>
        <v>46008.502499305556</v>
      </c>
      <c r="Q152" s="45" t="str">
        <f t="shared" si="6"/>
        <v>SD</v>
      </c>
      <c r="R152" s="45"/>
      <c r="S152" s="45"/>
    </row>
    <row r="153" spans="1:19" ht="15.75" customHeight="1" x14ac:dyDescent="0.3">
      <c r="A153" s="16" t="s">
        <v>293</v>
      </c>
      <c r="B153" s="17">
        <v>45622</v>
      </c>
      <c r="C153" s="16" t="s">
        <v>294</v>
      </c>
      <c r="D153" s="16" t="s">
        <v>295</v>
      </c>
      <c r="E153" s="16" t="s">
        <v>18</v>
      </c>
      <c r="F153" s="16" t="s">
        <v>19</v>
      </c>
      <c r="G153" s="16" t="s">
        <v>20</v>
      </c>
      <c r="H153" s="16">
        <v>5</v>
      </c>
      <c r="I153" s="16">
        <v>249.99</v>
      </c>
      <c r="J153" s="16" t="s">
        <v>27</v>
      </c>
      <c r="K153" s="16" t="s">
        <v>41</v>
      </c>
      <c r="L153" s="16" t="s">
        <v>23</v>
      </c>
      <c r="M153" s="17">
        <v>44873</v>
      </c>
      <c r="N153" s="16">
        <v>1249.95</v>
      </c>
      <c r="O153" s="45">
        <v>2</v>
      </c>
      <c r="P153" s="46">
        <f t="shared" ca="1" si="5"/>
        <v>46008.502499305556</v>
      </c>
      <c r="Q153" s="45" t="str">
        <f t="shared" si="6"/>
        <v>DW</v>
      </c>
      <c r="R153" s="45"/>
      <c r="S153" s="45"/>
    </row>
    <row r="154" spans="1:19" ht="15.75" customHeight="1" x14ac:dyDescent="0.3">
      <c r="A154" s="16" t="s">
        <v>296</v>
      </c>
      <c r="B154" s="17">
        <v>45623</v>
      </c>
      <c r="C154" s="16" t="s">
        <v>113</v>
      </c>
      <c r="D154" s="16" t="s">
        <v>114</v>
      </c>
      <c r="E154" s="16" t="s">
        <v>45</v>
      </c>
      <c r="F154" s="16" t="s">
        <v>46</v>
      </c>
      <c r="G154" s="16" t="s">
        <v>47</v>
      </c>
      <c r="H154" s="16">
        <v>2</v>
      </c>
      <c r="I154" s="16">
        <v>149.99</v>
      </c>
      <c r="J154" s="16" t="s">
        <v>21</v>
      </c>
      <c r="K154" s="16" t="s">
        <v>36</v>
      </c>
      <c r="L154" s="16" t="s">
        <v>37</v>
      </c>
      <c r="M154" s="17">
        <v>45101</v>
      </c>
      <c r="N154" s="16">
        <v>299.98</v>
      </c>
      <c r="O154" s="45">
        <v>1</v>
      </c>
      <c r="P154" s="46">
        <f t="shared" ca="1" si="5"/>
        <v>46008.502499305556</v>
      </c>
      <c r="Q154" s="45" t="str">
        <f t="shared" si="6"/>
        <v>LM</v>
      </c>
      <c r="R154" s="45"/>
      <c r="S154" s="45"/>
    </row>
    <row r="155" spans="1:19" ht="15.75" customHeight="1" x14ac:dyDescent="0.3">
      <c r="A155" s="16" t="s">
        <v>297</v>
      </c>
      <c r="B155" s="17">
        <v>45627</v>
      </c>
      <c r="C155" s="16" t="s">
        <v>30</v>
      </c>
      <c r="D155" s="16" t="s">
        <v>31</v>
      </c>
      <c r="E155" s="16" t="s">
        <v>106</v>
      </c>
      <c r="F155" s="16" t="s">
        <v>107</v>
      </c>
      <c r="G155" s="16" t="s">
        <v>47</v>
      </c>
      <c r="H155" s="16">
        <v>3</v>
      </c>
      <c r="I155" s="16">
        <v>299.99</v>
      </c>
      <c r="J155" s="16" t="s">
        <v>21</v>
      </c>
      <c r="K155" s="16" t="s">
        <v>36</v>
      </c>
      <c r="L155" s="16" t="s">
        <v>28</v>
      </c>
      <c r="M155" s="17">
        <v>44659</v>
      </c>
      <c r="N155" s="16">
        <v>899.97</v>
      </c>
      <c r="O155" s="45">
        <v>2</v>
      </c>
      <c r="P155" s="46">
        <f t="shared" ca="1" si="5"/>
        <v>46008.502499305556</v>
      </c>
      <c r="Q155" s="45" t="str">
        <f t="shared" si="6"/>
        <v>KS</v>
      </c>
      <c r="R155" s="45"/>
      <c r="S155" s="45"/>
    </row>
    <row r="156" spans="1:19" ht="15.75" customHeight="1" x14ac:dyDescent="0.3">
      <c r="A156" s="16" t="s">
        <v>298</v>
      </c>
      <c r="B156" s="17">
        <v>45627</v>
      </c>
      <c r="C156" s="16" t="s">
        <v>56</v>
      </c>
      <c r="D156" s="16" t="s">
        <v>57</v>
      </c>
      <c r="E156" s="16" t="s">
        <v>18</v>
      </c>
      <c r="F156" s="16" t="s">
        <v>19</v>
      </c>
      <c r="G156" s="16" t="s">
        <v>20</v>
      </c>
      <c r="H156" s="16">
        <v>5</v>
      </c>
      <c r="I156" s="16">
        <v>249.99</v>
      </c>
      <c r="J156" s="16" t="s">
        <v>21</v>
      </c>
      <c r="K156" s="16" t="s">
        <v>22</v>
      </c>
      <c r="L156" s="16" t="s">
        <v>28</v>
      </c>
      <c r="M156" s="17">
        <v>44485</v>
      </c>
      <c r="N156" s="16">
        <v>1249.95</v>
      </c>
      <c r="O156" s="45">
        <v>3</v>
      </c>
      <c r="P156" s="46">
        <f t="shared" ca="1" si="5"/>
        <v>46008.502499305556</v>
      </c>
      <c r="Q156" s="45" t="str">
        <f t="shared" si="6"/>
        <v>CA</v>
      </c>
      <c r="R156" s="45"/>
      <c r="S156" s="45"/>
    </row>
    <row r="157" spans="1:19" ht="15.75" customHeight="1" x14ac:dyDescent="0.3">
      <c r="A157" s="16" t="s">
        <v>299</v>
      </c>
      <c r="B157" s="17">
        <v>45627</v>
      </c>
      <c r="C157" s="16" t="s">
        <v>25</v>
      </c>
      <c r="D157" s="16" t="s">
        <v>26</v>
      </c>
      <c r="E157" s="16" t="s">
        <v>53</v>
      </c>
      <c r="F157" s="16" t="s">
        <v>54</v>
      </c>
      <c r="G157" s="16" t="s">
        <v>20</v>
      </c>
      <c r="H157" s="16">
        <v>2</v>
      </c>
      <c r="I157" s="16">
        <v>149.99</v>
      </c>
      <c r="J157" s="16" t="s">
        <v>21</v>
      </c>
      <c r="K157" s="16" t="s">
        <v>36</v>
      </c>
      <c r="L157" s="16" t="s">
        <v>28</v>
      </c>
      <c r="M157" s="17">
        <v>44475</v>
      </c>
      <c r="N157" s="16">
        <v>299.98</v>
      </c>
      <c r="O157" s="45">
        <v>3</v>
      </c>
      <c r="P157" s="46">
        <f t="shared" ca="1" si="5"/>
        <v>46008.502499305556</v>
      </c>
      <c r="Q157" s="45" t="str">
        <f t="shared" si="6"/>
        <v>JJ</v>
      </c>
      <c r="R157" s="45"/>
      <c r="S157" s="45"/>
    </row>
    <row r="158" spans="1:19" ht="15.75" customHeight="1" x14ac:dyDescent="0.3">
      <c r="A158" s="16" t="s">
        <v>300</v>
      </c>
      <c r="B158" s="17">
        <v>45627</v>
      </c>
      <c r="C158" s="16" t="s">
        <v>87</v>
      </c>
      <c r="D158" s="16" t="s">
        <v>88</v>
      </c>
      <c r="E158" s="16" t="s">
        <v>81</v>
      </c>
      <c r="F158" s="16" t="s">
        <v>82</v>
      </c>
      <c r="G158" s="16" t="s">
        <v>20</v>
      </c>
      <c r="H158" s="16">
        <v>5</v>
      </c>
      <c r="I158" s="16">
        <v>699.99</v>
      </c>
      <c r="J158" s="16" t="s">
        <v>58</v>
      </c>
      <c r="K158" s="16" t="s">
        <v>51</v>
      </c>
      <c r="L158" s="16" t="s">
        <v>37</v>
      </c>
      <c r="M158" s="17">
        <v>44944</v>
      </c>
      <c r="N158" s="16">
        <v>3499.95</v>
      </c>
      <c r="O158" s="45">
        <v>1</v>
      </c>
      <c r="P158" s="46">
        <f t="shared" ca="1" si="5"/>
        <v>46008.502499305556</v>
      </c>
      <c r="Q158" s="45" t="str">
        <f t="shared" si="6"/>
        <v>MC</v>
      </c>
      <c r="R158" s="45"/>
      <c r="S158" s="45"/>
    </row>
    <row r="159" spans="1:19" ht="15.75" customHeight="1" x14ac:dyDescent="0.3">
      <c r="A159" s="16" t="s">
        <v>301</v>
      </c>
      <c r="B159" s="17">
        <v>45629</v>
      </c>
      <c r="C159" s="16" t="s">
        <v>253</v>
      </c>
      <c r="D159" s="16" t="s">
        <v>254</v>
      </c>
      <c r="E159" s="16" t="s">
        <v>18</v>
      </c>
      <c r="F159" s="16" t="s">
        <v>19</v>
      </c>
      <c r="G159" s="16" t="s">
        <v>20</v>
      </c>
      <c r="H159" s="16">
        <v>4</v>
      </c>
      <c r="I159" s="16">
        <v>249.99</v>
      </c>
      <c r="J159" s="16" t="s">
        <v>35</v>
      </c>
      <c r="K159" s="16" t="s">
        <v>64</v>
      </c>
      <c r="L159" s="16" t="s">
        <v>28</v>
      </c>
      <c r="M159" s="17">
        <v>45098</v>
      </c>
      <c r="N159" s="16">
        <v>999.96</v>
      </c>
      <c r="O159" s="45">
        <v>1</v>
      </c>
      <c r="P159" s="46">
        <f t="shared" ca="1" si="5"/>
        <v>46008.502499305556</v>
      </c>
      <c r="Q159" s="45" t="str">
        <f t="shared" si="6"/>
        <v>WW</v>
      </c>
      <c r="R159" s="45"/>
      <c r="S159" s="45"/>
    </row>
    <row r="160" spans="1:19" ht="15.75" customHeight="1" x14ac:dyDescent="0.3">
      <c r="A160" s="16" t="s">
        <v>302</v>
      </c>
      <c r="B160" s="17">
        <v>45630</v>
      </c>
      <c r="C160" s="16" t="s">
        <v>49</v>
      </c>
      <c r="D160" s="16" t="s">
        <v>50</v>
      </c>
      <c r="E160" s="16" t="s">
        <v>81</v>
      </c>
      <c r="F160" s="16" t="s">
        <v>82</v>
      </c>
      <c r="G160" s="16" t="s">
        <v>20</v>
      </c>
      <c r="H160" s="16">
        <v>4</v>
      </c>
      <c r="I160" s="16">
        <v>699.99</v>
      </c>
      <c r="J160" s="16" t="s">
        <v>27</v>
      </c>
      <c r="K160" s="16" t="s">
        <v>41</v>
      </c>
      <c r="L160" s="16" t="s">
        <v>28</v>
      </c>
      <c r="M160" s="17">
        <v>44703</v>
      </c>
      <c r="N160" s="16">
        <v>2799.96</v>
      </c>
      <c r="O160" s="45">
        <v>2</v>
      </c>
      <c r="P160" s="46">
        <f t="shared" ca="1" si="5"/>
        <v>46008.502499305556</v>
      </c>
      <c r="Q160" s="45" t="str">
        <f t="shared" si="6"/>
        <v>DN</v>
      </c>
      <c r="R160" s="45"/>
      <c r="S160" s="45"/>
    </row>
    <row r="161" spans="1:19" ht="15.75" customHeight="1" x14ac:dyDescent="0.3">
      <c r="A161" s="16" t="s">
        <v>303</v>
      </c>
      <c r="B161" s="17">
        <v>45635</v>
      </c>
      <c r="C161" s="16" t="s">
        <v>109</v>
      </c>
      <c r="D161" s="16" t="s">
        <v>110</v>
      </c>
      <c r="E161" s="16" t="s">
        <v>18</v>
      </c>
      <c r="F161" s="16" t="s">
        <v>19</v>
      </c>
      <c r="G161" s="16" t="s">
        <v>20</v>
      </c>
      <c r="H161" s="16">
        <v>2</v>
      </c>
      <c r="I161" s="16">
        <v>249.99</v>
      </c>
      <c r="J161" s="16" t="s">
        <v>27</v>
      </c>
      <c r="K161" s="16" t="s">
        <v>22</v>
      </c>
      <c r="L161" s="16" t="s">
        <v>28</v>
      </c>
      <c r="M161" s="17">
        <v>44396</v>
      </c>
      <c r="N161" s="16">
        <v>499.98</v>
      </c>
      <c r="O161" s="45">
        <v>3</v>
      </c>
      <c r="P161" s="46">
        <f t="shared" ca="1" si="5"/>
        <v>46008.502499305556</v>
      </c>
      <c r="Q161" s="45" t="str">
        <f t="shared" si="6"/>
        <v>NC</v>
      </c>
      <c r="R161" s="45"/>
      <c r="S161" s="45"/>
    </row>
    <row r="162" spans="1:19" ht="15.75" customHeight="1" x14ac:dyDescent="0.3">
      <c r="A162" s="16" t="s">
        <v>304</v>
      </c>
      <c r="B162" s="17">
        <v>45635</v>
      </c>
      <c r="C162" s="16" t="s">
        <v>305</v>
      </c>
      <c r="D162" s="16" t="s">
        <v>306</v>
      </c>
      <c r="E162" s="16" t="s">
        <v>32</v>
      </c>
      <c r="F162" s="16" t="s">
        <v>33</v>
      </c>
      <c r="G162" s="16" t="s">
        <v>34</v>
      </c>
      <c r="H162" s="16">
        <v>3</v>
      </c>
      <c r="I162" s="16">
        <v>59.99</v>
      </c>
      <c r="J162" s="16" t="s">
        <v>21</v>
      </c>
      <c r="K162" s="16" t="s">
        <v>22</v>
      </c>
      <c r="L162" s="16" t="s">
        <v>28</v>
      </c>
      <c r="M162" s="17">
        <v>45052</v>
      </c>
      <c r="N162" s="16">
        <v>179.97</v>
      </c>
      <c r="O162" s="45">
        <v>1</v>
      </c>
      <c r="P162" s="46">
        <f t="shared" ca="1" si="5"/>
        <v>46008.502499305556</v>
      </c>
      <c r="Q162" s="45" t="str">
        <f t="shared" si="6"/>
        <v>JJ</v>
      </c>
      <c r="R162" s="45"/>
      <c r="S162" s="45"/>
    </row>
    <row r="163" spans="1:19" ht="15.75" customHeight="1" x14ac:dyDescent="0.3">
      <c r="A163" s="16" t="s">
        <v>307</v>
      </c>
      <c r="B163" s="17">
        <v>45635</v>
      </c>
      <c r="C163" s="16" t="s">
        <v>142</v>
      </c>
      <c r="D163" s="16" t="s">
        <v>143</v>
      </c>
      <c r="E163" s="16" t="s">
        <v>115</v>
      </c>
      <c r="F163" s="16" t="s">
        <v>116</v>
      </c>
      <c r="G163" s="16" t="s">
        <v>34</v>
      </c>
      <c r="H163" s="16">
        <v>4</v>
      </c>
      <c r="I163" s="16">
        <v>79.989999999999995</v>
      </c>
      <c r="J163" s="16" t="s">
        <v>58</v>
      </c>
      <c r="K163" s="16" t="s">
        <v>64</v>
      </c>
      <c r="L163" s="16" t="s">
        <v>37</v>
      </c>
      <c r="M163" s="17">
        <v>44921</v>
      </c>
      <c r="N163" s="16">
        <v>319.95999999999998</v>
      </c>
      <c r="O163" s="45">
        <v>1</v>
      </c>
      <c r="P163" s="46">
        <f t="shared" ca="1" si="5"/>
        <v>46008.502499305556</v>
      </c>
      <c r="Q163" s="45" t="str">
        <f t="shared" si="6"/>
        <v>JT</v>
      </c>
      <c r="R163" s="45"/>
      <c r="S163" s="45"/>
    </row>
    <row r="164" spans="1:19" ht="15.75" customHeight="1" x14ac:dyDescent="0.3">
      <c r="A164" s="16" t="s">
        <v>308</v>
      </c>
      <c r="B164" s="17">
        <v>45636</v>
      </c>
      <c r="C164" s="16" t="s">
        <v>121</v>
      </c>
      <c r="D164" s="16" t="s">
        <v>122</v>
      </c>
      <c r="E164" s="16" t="s">
        <v>115</v>
      </c>
      <c r="F164" s="16" t="s">
        <v>116</v>
      </c>
      <c r="G164" s="16" t="s">
        <v>34</v>
      </c>
      <c r="H164" s="16">
        <v>3</v>
      </c>
      <c r="I164" s="16">
        <v>79.989999999999995</v>
      </c>
      <c r="J164" s="16" t="s">
        <v>58</v>
      </c>
      <c r="K164" s="16" t="s">
        <v>64</v>
      </c>
      <c r="L164" s="16" t="s">
        <v>37</v>
      </c>
      <c r="M164" s="17">
        <v>44779</v>
      </c>
      <c r="N164" s="16">
        <v>239.97</v>
      </c>
      <c r="O164" s="45">
        <v>2</v>
      </c>
      <c r="P164" s="46">
        <f t="shared" ca="1" si="5"/>
        <v>46008.502499305556</v>
      </c>
      <c r="Q164" s="45" t="str">
        <f t="shared" si="6"/>
        <v>HR</v>
      </c>
      <c r="R164" s="45"/>
      <c r="S164" s="45"/>
    </row>
    <row r="165" spans="1:19" ht="15.75" customHeight="1" x14ac:dyDescent="0.3">
      <c r="A165" s="16" t="s">
        <v>309</v>
      </c>
      <c r="B165" s="17">
        <v>45638</v>
      </c>
      <c r="C165" s="16" t="s">
        <v>73</v>
      </c>
      <c r="D165" s="16" t="s">
        <v>74</v>
      </c>
      <c r="E165" s="16" t="s">
        <v>62</v>
      </c>
      <c r="F165" s="16" t="s">
        <v>63</v>
      </c>
      <c r="G165" s="16" t="s">
        <v>20</v>
      </c>
      <c r="H165" s="16">
        <v>2</v>
      </c>
      <c r="I165" s="16">
        <v>899.99</v>
      </c>
      <c r="J165" s="16" t="s">
        <v>21</v>
      </c>
      <c r="K165" s="16" t="s">
        <v>41</v>
      </c>
      <c r="L165" s="16" t="s">
        <v>23</v>
      </c>
      <c r="M165" s="17">
        <v>44406</v>
      </c>
      <c r="N165" s="16">
        <v>1799.98</v>
      </c>
      <c r="O165" s="45">
        <v>3</v>
      </c>
      <c r="P165" s="46">
        <f t="shared" ca="1" si="5"/>
        <v>46008.502499305556</v>
      </c>
      <c r="Q165" s="45" t="str">
        <f t="shared" si="6"/>
        <v>PR</v>
      </c>
      <c r="R165" s="45"/>
      <c r="S165" s="45"/>
    </row>
    <row r="166" spans="1:19" ht="15.75" customHeight="1" x14ac:dyDescent="0.3">
      <c r="A166" s="16" t="s">
        <v>310</v>
      </c>
      <c r="B166" s="17">
        <v>45641</v>
      </c>
      <c r="C166" s="16" t="s">
        <v>183</v>
      </c>
      <c r="D166" s="16" t="s">
        <v>184</v>
      </c>
      <c r="E166" s="16" t="s">
        <v>45</v>
      </c>
      <c r="F166" s="16" t="s">
        <v>46</v>
      </c>
      <c r="G166" s="16" t="s">
        <v>47</v>
      </c>
      <c r="H166" s="16">
        <v>1</v>
      </c>
      <c r="I166" s="16">
        <v>149.99</v>
      </c>
      <c r="J166" s="16" t="s">
        <v>58</v>
      </c>
      <c r="K166" s="16" t="s">
        <v>64</v>
      </c>
      <c r="L166" s="16" t="s">
        <v>37</v>
      </c>
      <c r="M166" s="17">
        <v>45200</v>
      </c>
      <c r="N166" s="16">
        <v>149.99</v>
      </c>
      <c r="O166" s="45">
        <v>1</v>
      </c>
      <c r="P166" s="46">
        <f t="shared" ca="1" si="5"/>
        <v>46008.502499305556</v>
      </c>
      <c r="Q166" s="45" t="str">
        <f t="shared" si="6"/>
        <v>DM</v>
      </c>
      <c r="R166" s="45"/>
      <c r="S166" s="45"/>
    </row>
    <row r="167" spans="1:19" ht="15.75" customHeight="1" x14ac:dyDescent="0.3">
      <c r="A167" s="16" t="s">
        <v>311</v>
      </c>
      <c r="B167" s="17">
        <v>45641</v>
      </c>
      <c r="C167" s="16" t="s">
        <v>139</v>
      </c>
      <c r="D167" s="16" t="s">
        <v>140</v>
      </c>
      <c r="E167" s="16" t="s">
        <v>106</v>
      </c>
      <c r="F167" s="16" t="s">
        <v>107</v>
      </c>
      <c r="G167" s="16" t="s">
        <v>47</v>
      </c>
      <c r="H167" s="16">
        <v>2</v>
      </c>
      <c r="I167" s="16">
        <v>299.99</v>
      </c>
      <c r="J167" s="16" t="s">
        <v>21</v>
      </c>
      <c r="K167" s="16" t="s">
        <v>64</v>
      </c>
      <c r="L167" s="16" t="s">
        <v>28</v>
      </c>
      <c r="M167" s="17">
        <v>44724</v>
      </c>
      <c r="N167" s="16">
        <v>599.98</v>
      </c>
      <c r="O167" s="45">
        <v>2</v>
      </c>
      <c r="P167" s="46">
        <f t="shared" ca="1" si="5"/>
        <v>46008.502499305556</v>
      </c>
      <c r="Q167" s="45" t="str">
        <f t="shared" si="6"/>
        <v>ST</v>
      </c>
      <c r="R167" s="45"/>
      <c r="S167" s="45"/>
    </row>
    <row r="168" spans="1:19" ht="15.75" customHeight="1" x14ac:dyDescent="0.3">
      <c r="A168" s="16" t="s">
        <v>312</v>
      </c>
      <c r="B168" s="17">
        <v>45644</v>
      </c>
      <c r="C168" s="16" t="s">
        <v>133</v>
      </c>
      <c r="D168" s="16" t="s">
        <v>134</v>
      </c>
      <c r="E168" s="16" t="s">
        <v>32</v>
      </c>
      <c r="F168" s="16" t="s">
        <v>33</v>
      </c>
      <c r="G168" s="16" t="s">
        <v>34</v>
      </c>
      <c r="H168" s="16">
        <v>2</v>
      </c>
      <c r="I168" s="16">
        <v>59.99</v>
      </c>
      <c r="J168" s="16" t="s">
        <v>21</v>
      </c>
      <c r="K168" s="16" t="s">
        <v>51</v>
      </c>
      <c r="L168" s="16" t="s">
        <v>23</v>
      </c>
      <c r="M168" s="17">
        <v>45191</v>
      </c>
      <c r="N168" s="16">
        <v>119.98</v>
      </c>
      <c r="O168" s="45">
        <v>1</v>
      </c>
      <c r="P168" s="46">
        <f t="shared" ca="1" si="5"/>
        <v>46008.502499305556</v>
      </c>
      <c r="Q168" s="45" t="str">
        <f t="shared" si="6"/>
        <v>EW</v>
      </c>
      <c r="R168" s="45"/>
      <c r="S168" s="45"/>
    </row>
    <row r="169" spans="1:19" ht="15.75" customHeight="1" x14ac:dyDescent="0.3">
      <c r="A169" s="16" t="s">
        <v>313</v>
      </c>
      <c r="B169" s="17">
        <v>45645</v>
      </c>
      <c r="C169" s="16" t="s">
        <v>183</v>
      </c>
      <c r="D169" s="16" t="s">
        <v>184</v>
      </c>
      <c r="E169" s="16" t="s">
        <v>118</v>
      </c>
      <c r="F169" s="16" t="s">
        <v>119</v>
      </c>
      <c r="G169" s="16" t="s">
        <v>20</v>
      </c>
      <c r="H169" s="16">
        <v>1</v>
      </c>
      <c r="I169" s="16">
        <v>89.99</v>
      </c>
      <c r="J169" s="16" t="s">
        <v>58</v>
      </c>
      <c r="K169" s="16" t="s">
        <v>22</v>
      </c>
      <c r="L169" s="16" t="s">
        <v>37</v>
      </c>
      <c r="M169" s="17">
        <v>44760</v>
      </c>
      <c r="N169" s="16">
        <v>89.99</v>
      </c>
      <c r="O169" s="45">
        <v>2</v>
      </c>
      <c r="P169" s="46">
        <f t="shared" ca="1" si="5"/>
        <v>46008.502499305556</v>
      </c>
      <c r="Q169" s="45" t="str">
        <f t="shared" si="6"/>
        <v>DM</v>
      </c>
      <c r="R169" s="45"/>
      <c r="S169" s="45"/>
    </row>
    <row r="170" spans="1:19" ht="15.75" customHeight="1" x14ac:dyDescent="0.3">
      <c r="A170" s="16" t="s">
        <v>314</v>
      </c>
      <c r="B170" s="17">
        <v>45645</v>
      </c>
      <c r="C170" s="16" t="s">
        <v>148</v>
      </c>
      <c r="D170" s="16" t="s">
        <v>149</v>
      </c>
      <c r="E170" s="16" t="s">
        <v>62</v>
      </c>
      <c r="F170" s="16" t="s">
        <v>63</v>
      </c>
      <c r="G170" s="16" t="s">
        <v>20</v>
      </c>
      <c r="H170" s="16">
        <v>5</v>
      </c>
      <c r="I170" s="16">
        <v>899.99</v>
      </c>
      <c r="J170" s="16" t="s">
        <v>58</v>
      </c>
      <c r="K170" s="16" t="s">
        <v>64</v>
      </c>
      <c r="L170" s="16" t="s">
        <v>37</v>
      </c>
      <c r="M170" s="17">
        <v>44625</v>
      </c>
      <c r="N170" s="16">
        <v>4499.95</v>
      </c>
      <c r="O170" s="45">
        <v>2</v>
      </c>
      <c r="P170" s="46">
        <f t="shared" ca="1" si="5"/>
        <v>46008.502499305556</v>
      </c>
      <c r="Q170" s="45" t="str">
        <f t="shared" si="6"/>
        <v>DK</v>
      </c>
      <c r="R170" s="45"/>
      <c r="S170" s="45"/>
    </row>
    <row r="171" spans="1:19" ht="15.75" customHeight="1" x14ac:dyDescent="0.3">
      <c r="A171" s="16" t="s">
        <v>315</v>
      </c>
      <c r="B171" s="17">
        <v>45646</v>
      </c>
      <c r="C171" s="16" t="s">
        <v>43</v>
      </c>
      <c r="D171" s="16" t="s">
        <v>44</v>
      </c>
      <c r="E171" s="16" t="s">
        <v>45</v>
      </c>
      <c r="F171" s="16" t="s">
        <v>46</v>
      </c>
      <c r="G171" s="16" t="s">
        <v>47</v>
      </c>
      <c r="H171" s="16">
        <v>2</v>
      </c>
      <c r="I171" s="16">
        <v>149.99</v>
      </c>
      <c r="J171" s="16" t="s">
        <v>21</v>
      </c>
      <c r="K171" s="16" t="s">
        <v>36</v>
      </c>
      <c r="L171" s="16" t="s">
        <v>23</v>
      </c>
      <c r="M171" s="17">
        <v>45239</v>
      </c>
      <c r="N171" s="16">
        <v>299.98</v>
      </c>
      <c r="O171" s="45">
        <v>1</v>
      </c>
      <c r="P171" s="46">
        <f t="shared" ca="1" si="5"/>
        <v>46008.502499305556</v>
      </c>
      <c r="Q171" s="45" t="str">
        <f t="shared" si="6"/>
        <v>MB</v>
      </c>
      <c r="R171" s="45"/>
      <c r="S171" s="45"/>
    </row>
    <row r="172" spans="1:19" ht="15.75" customHeight="1" x14ac:dyDescent="0.3">
      <c r="A172" s="16" t="s">
        <v>316</v>
      </c>
      <c r="B172" s="17">
        <v>45648</v>
      </c>
      <c r="C172" s="16" t="s">
        <v>113</v>
      </c>
      <c r="D172" s="16" t="s">
        <v>114</v>
      </c>
      <c r="E172" s="16" t="s">
        <v>53</v>
      </c>
      <c r="F172" s="16" t="s">
        <v>54</v>
      </c>
      <c r="G172" s="16" t="s">
        <v>20</v>
      </c>
      <c r="H172" s="16">
        <v>2</v>
      </c>
      <c r="I172" s="16">
        <v>149.99</v>
      </c>
      <c r="J172" s="16" t="s">
        <v>58</v>
      </c>
      <c r="K172" s="16" t="s">
        <v>51</v>
      </c>
      <c r="L172" s="16" t="s">
        <v>28</v>
      </c>
      <c r="M172" s="17">
        <v>45280</v>
      </c>
      <c r="N172" s="16">
        <v>299.98</v>
      </c>
      <c r="O172" s="45">
        <v>1</v>
      </c>
      <c r="P172" s="46">
        <f t="shared" ca="1" si="5"/>
        <v>46008.502499305556</v>
      </c>
      <c r="Q172" s="45" t="str">
        <f t="shared" si="6"/>
        <v>LM</v>
      </c>
      <c r="R172" s="45"/>
      <c r="S172" s="45"/>
    </row>
    <row r="173" spans="1:19" ht="15.75" customHeight="1" x14ac:dyDescent="0.3">
      <c r="A173" s="16" t="s">
        <v>317</v>
      </c>
      <c r="B173" s="17">
        <v>45648</v>
      </c>
      <c r="C173" s="16" t="s">
        <v>183</v>
      </c>
      <c r="D173" s="16" t="s">
        <v>184</v>
      </c>
      <c r="E173" s="16" t="s">
        <v>45</v>
      </c>
      <c r="F173" s="16" t="s">
        <v>46</v>
      </c>
      <c r="G173" s="16" t="s">
        <v>47</v>
      </c>
      <c r="H173" s="16">
        <v>3</v>
      </c>
      <c r="I173" s="16">
        <v>149.99</v>
      </c>
      <c r="J173" s="16" t="s">
        <v>58</v>
      </c>
      <c r="K173" s="16" t="s">
        <v>41</v>
      </c>
      <c r="L173" s="16" t="s">
        <v>37</v>
      </c>
      <c r="M173" s="17">
        <v>44522</v>
      </c>
      <c r="N173" s="16">
        <v>449.97</v>
      </c>
      <c r="O173" s="45">
        <v>3</v>
      </c>
      <c r="P173" s="46">
        <f t="shared" ca="1" si="5"/>
        <v>46008.502499305556</v>
      </c>
      <c r="Q173" s="45" t="str">
        <f t="shared" si="6"/>
        <v>DM</v>
      </c>
      <c r="R173" s="45"/>
      <c r="S173" s="45"/>
    </row>
    <row r="174" spans="1:19" ht="15.75" customHeight="1" x14ac:dyDescent="0.3">
      <c r="A174" s="16" t="s">
        <v>318</v>
      </c>
      <c r="B174" s="17">
        <v>45649</v>
      </c>
      <c r="C174" s="16" t="s">
        <v>30</v>
      </c>
      <c r="D174" s="16" t="s">
        <v>31</v>
      </c>
      <c r="E174" s="16" t="s">
        <v>106</v>
      </c>
      <c r="F174" s="16" t="s">
        <v>107</v>
      </c>
      <c r="G174" s="16" t="s">
        <v>47</v>
      </c>
      <c r="H174" s="16">
        <v>2</v>
      </c>
      <c r="I174" s="16">
        <v>299.99</v>
      </c>
      <c r="J174" s="16" t="s">
        <v>35</v>
      </c>
      <c r="K174" s="16" t="s">
        <v>36</v>
      </c>
      <c r="L174" s="16" t="s">
        <v>23</v>
      </c>
      <c r="M174" s="17">
        <v>44721</v>
      </c>
      <c r="N174" s="16">
        <v>599.98</v>
      </c>
      <c r="O174" s="45">
        <v>2</v>
      </c>
      <c r="P174" s="46">
        <f t="shared" ca="1" si="5"/>
        <v>46008.502499305556</v>
      </c>
      <c r="Q174" s="45" t="str">
        <f t="shared" si="6"/>
        <v>KS</v>
      </c>
      <c r="R174" s="45"/>
      <c r="S174" s="45"/>
    </row>
    <row r="175" spans="1:19" ht="15.75" customHeight="1" x14ac:dyDescent="0.3">
      <c r="A175" s="16" t="s">
        <v>319</v>
      </c>
      <c r="B175" s="17">
        <v>45654</v>
      </c>
      <c r="C175" s="16" t="s">
        <v>43</v>
      </c>
      <c r="D175" s="16" t="s">
        <v>44</v>
      </c>
      <c r="E175" s="16" t="s">
        <v>106</v>
      </c>
      <c r="F175" s="16" t="s">
        <v>107</v>
      </c>
      <c r="G175" s="16" t="s">
        <v>47</v>
      </c>
      <c r="H175" s="16">
        <v>2</v>
      </c>
      <c r="I175" s="16">
        <v>299.99</v>
      </c>
      <c r="J175" s="16" t="s">
        <v>21</v>
      </c>
      <c r="K175" s="16" t="s">
        <v>51</v>
      </c>
      <c r="L175" s="16" t="s">
        <v>23</v>
      </c>
      <c r="M175" s="17">
        <v>44771</v>
      </c>
      <c r="N175" s="16">
        <v>599.98</v>
      </c>
      <c r="O175" s="45">
        <v>2</v>
      </c>
      <c r="P175" s="46">
        <f t="shared" ca="1" si="5"/>
        <v>46008.502499305556</v>
      </c>
      <c r="Q175" s="45" t="str">
        <f t="shared" si="6"/>
        <v>MB</v>
      </c>
      <c r="R175" s="45"/>
      <c r="S175" s="45"/>
    </row>
    <row r="176" spans="1:19" ht="15.75" customHeight="1" x14ac:dyDescent="0.3">
      <c r="A176" s="16" t="s">
        <v>320</v>
      </c>
      <c r="B176" s="17">
        <v>45654</v>
      </c>
      <c r="C176" s="16" t="s">
        <v>121</v>
      </c>
      <c r="D176" s="16" t="s">
        <v>122</v>
      </c>
      <c r="E176" s="16" t="s">
        <v>127</v>
      </c>
      <c r="F176" s="16" t="s">
        <v>128</v>
      </c>
      <c r="G176" s="16" t="s">
        <v>47</v>
      </c>
      <c r="H176" s="16">
        <v>4</v>
      </c>
      <c r="I176" s="16">
        <v>199.99</v>
      </c>
      <c r="J176" s="16" t="s">
        <v>27</v>
      </c>
      <c r="K176" s="16" t="s">
        <v>22</v>
      </c>
      <c r="L176" s="16" t="s">
        <v>23</v>
      </c>
      <c r="M176" s="17">
        <v>44523</v>
      </c>
      <c r="N176" s="16">
        <v>799.96</v>
      </c>
      <c r="O176" s="45">
        <v>3</v>
      </c>
      <c r="P176" s="46">
        <f t="shared" ca="1" si="5"/>
        <v>46008.502499305556</v>
      </c>
      <c r="Q176" s="45" t="str">
        <f t="shared" si="6"/>
        <v>HR</v>
      </c>
      <c r="R176" s="45"/>
      <c r="S176" s="45"/>
    </row>
    <row r="177" spans="1:19" ht="15.75" customHeight="1" x14ac:dyDescent="0.3">
      <c r="A177" s="16" t="s">
        <v>321</v>
      </c>
      <c r="B177" s="17">
        <v>45655</v>
      </c>
      <c r="C177" s="16" t="s">
        <v>60</v>
      </c>
      <c r="D177" s="16" t="s">
        <v>61</v>
      </c>
      <c r="E177" s="16" t="s">
        <v>118</v>
      </c>
      <c r="F177" s="16" t="s">
        <v>119</v>
      </c>
      <c r="G177" s="16" t="s">
        <v>20</v>
      </c>
      <c r="H177" s="16">
        <v>1</v>
      </c>
      <c r="I177" s="16">
        <v>89.99</v>
      </c>
      <c r="J177" s="16" t="s">
        <v>27</v>
      </c>
      <c r="K177" s="16" t="s">
        <v>36</v>
      </c>
      <c r="L177" s="16" t="s">
        <v>28</v>
      </c>
      <c r="M177" s="17">
        <v>44591</v>
      </c>
      <c r="N177" s="16">
        <v>89.99</v>
      </c>
      <c r="O177" s="45">
        <v>2</v>
      </c>
      <c r="P177" s="46">
        <f t="shared" ca="1" si="5"/>
        <v>46008.502499305556</v>
      </c>
      <c r="Q177" s="45" t="str">
        <f t="shared" si="6"/>
        <v>RT</v>
      </c>
      <c r="R177" s="45"/>
      <c r="S177" s="45"/>
    </row>
    <row r="178" spans="1:19" ht="15.75" customHeight="1" x14ac:dyDescent="0.3">
      <c r="A178" s="16" t="s">
        <v>322</v>
      </c>
      <c r="B178" s="17">
        <v>45655</v>
      </c>
      <c r="C178" s="16" t="s">
        <v>109</v>
      </c>
      <c r="D178" s="16" t="s">
        <v>110</v>
      </c>
      <c r="E178" s="16" t="s">
        <v>45</v>
      </c>
      <c r="F178" s="16" t="s">
        <v>46</v>
      </c>
      <c r="G178" s="16" t="s">
        <v>47</v>
      </c>
      <c r="H178" s="16">
        <v>5</v>
      </c>
      <c r="I178" s="16">
        <v>149.99</v>
      </c>
      <c r="J178" s="16" t="s">
        <v>21</v>
      </c>
      <c r="K178" s="16" t="s">
        <v>22</v>
      </c>
      <c r="L178" s="16" t="s">
        <v>28</v>
      </c>
      <c r="M178" s="17">
        <v>45347</v>
      </c>
      <c r="N178" s="16">
        <v>749.95</v>
      </c>
      <c r="O178" s="45">
        <v>0</v>
      </c>
      <c r="P178" s="46">
        <f t="shared" ca="1" si="5"/>
        <v>46008.502499305556</v>
      </c>
      <c r="Q178" s="45" t="str">
        <f t="shared" si="6"/>
        <v>NC</v>
      </c>
      <c r="R178" s="45"/>
      <c r="S178" s="45"/>
    </row>
    <row r="179" spans="1:19" ht="15.75" customHeight="1" x14ac:dyDescent="0.3">
      <c r="A179" s="16" t="s">
        <v>323</v>
      </c>
      <c r="B179" s="17">
        <v>45657</v>
      </c>
      <c r="C179" s="16" t="s">
        <v>87</v>
      </c>
      <c r="D179" s="16" t="s">
        <v>88</v>
      </c>
      <c r="E179" s="16" t="s">
        <v>62</v>
      </c>
      <c r="F179" s="16" t="s">
        <v>63</v>
      </c>
      <c r="G179" s="16" t="s">
        <v>20</v>
      </c>
      <c r="H179" s="16">
        <v>1</v>
      </c>
      <c r="I179" s="16">
        <v>899.99</v>
      </c>
      <c r="J179" s="16" t="s">
        <v>35</v>
      </c>
      <c r="K179" s="16" t="s">
        <v>41</v>
      </c>
      <c r="L179" s="16" t="s">
        <v>28</v>
      </c>
      <c r="M179" s="17">
        <v>45050</v>
      </c>
      <c r="N179" s="16">
        <v>899.99</v>
      </c>
      <c r="O179" s="45">
        <v>1</v>
      </c>
      <c r="P179" s="46">
        <f t="shared" ca="1" si="5"/>
        <v>46008.502499305556</v>
      </c>
      <c r="Q179" s="45" t="str">
        <f t="shared" si="6"/>
        <v>MC</v>
      </c>
      <c r="R179" s="45"/>
      <c r="S179" s="45"/>
    </row>
    <row r="180" spans="1:19" ht="15.75" customHeight="1" x14ac:dyDescent="0.3">
      <c r="A180" s="16" t="s">
        <v>324</v>
      </c>
      <c r="B180" s="17">
        <v>45660</v>
      </c>
      <c r="C180" s="16" t="s">
        <v>148</v>
      </c>
      <c r="D180" s="16" t="s">
        <v>149</v>
      </c>
      <c r="E180" s="16" t="s">
        <v>118</v>
      </c>
      <c r="F180" s="16" t="s">
        <v>119</v>
      </c>
      <c r="G180" s="16" t="s">
        <v>20</v>
      </c>
      <c r="H180" s="16">
        <v>2</v>
      </c>
      <c r="I180" s="16">
        <v>89.99</v>
      </c>
      <c r="J180" s="16" t="s">
        <v>27</v>
      </c>
      <c r="K180" s="16" t="s">
        <v>36</v>
      </c>
      <c r="L180" s="16" t="s">
        <v>28</v>
      </c>
      <c r="M180" s="17">
        <v>44564</v>
      </c>
      <c r="N180" s="16">
        <v>179.98</v>
      </c>
      <c r="O180" s="45">
        <v>3</v>
      </c>
      <c r="P180" s="46">
        <f t="shared" ca="1" si="5"/>
        <v>46008.502499305556</v>
      </c>
      <c r="Q180" s="45" t="str">
        <f t="shared" si="6"/>
        <v>DK</v>
      </c>
      <c r="R180" s="45"/>
      <c r="S180" s="45"/>
    </row>
    <row r="181" spans="1:19" ht="15.75" customHeight="1" x14ac:dyDescent="0.3">
      <c r="A181" s="16" t="s">
        <v>325</v>
      </c>
      <c r="B181" s="17">
        <v>45661</v>
      </c>
      <c r="C181" s="16" t="s">
        <v>326</v>
      </c>
      <c r="D181" s="16" t="s">
        <v>327</v>
      </c>
      <c r="E181" s="16" t="s">
        <v>62</v>
      </c>
      <c r="F181" s="16" t="s">
        <v>63</v>
      </c>
      <c r="G181" s="16" t="s">
        <v>20</v>
      </c>
      <c r="H181" s="16">
        <v>1</v>
      </c>
      <c r="I181" s="16">
        <v>899.99</v>
      </c>
      <c r="J181" s="16" t="s">
        <v>35</v>
      </c>
      <c r="K181" s="16" t="s">
        <v>41</v>
      </c>
      <c r="L181" s="16" t="s">
        <v>37</v>
      </c>
      <c r="M181" s="17">
        <v>44752</v>
      </c>
      <c r="N181" s="16">
        <v>899.99</v>
      </c>
      <c r="O181" s="45">
        <v>2</v>
      </c>
      <c r="P181" s="46">
        <f t="shared" ca="1" si="5"/>
        <v>46008.502499305556</v>
      </c>
      <c r="Q181" s="45" t="str">
        <f t="shared" si="6"/>
        <v>AE</v>
      </c>
      <c r="R181" s="45"/>
      <c r="S181" s="45"/>
    </row>
    <row r="182" spans="1:19" ht="15.75" customHeight="1" x14ac:dyDescent="0.3">
      <c r="A182" s="16" t="s">
        <v>328</v>
      </c>
      <c r="B182" s="17">
        <v>45663</v>
      </c>
      <c r="C182" s="16" t="s">
        <v>130</v>
      </c>
      <c r="D182" s="16" t="s">
        <v>131</v>
      </c>
      <c r="E182" s="16" t="s">
        <v>53</v>
      </c>
      <c r="F182" s="16" t="s">
        <v>54</v>
      </c>
      <c r="G182" s="16" t="s">
        <v>20</v>
      </c>
      <c r="H182" s="16">
        <v>5</v>
      </c>
      <c r="I182" s="16">
        <v>149.99</v>
      </c>
      <c r="J182" s="16" t="s">
        <v>35</v>
      </c>
      <c r="K182" s="16" t="s">
        <v>64</v>
      </c>
      <c r="L182" s="16" t="s">
        <v>28</v>
      </c>
      <c r="M182" s="17">
        <v>44824</v>
      </c>
      <c r="N182" s="16">
        <v>749.95</v>
      </c>
      <c r="O182" s="45">
        <v>2</v>
      </c>
      <c r="P182" s="46">
        <f t="shared" ca="1" si="5"/>
        <v>46008.502499305556</v>
      </c>
      <c r="Q182" s="45" t="str">
        <f t="shared" si="6"/>
        <v>LA</v>
      </c>
      <c r="R182" s="45"/>
      <c r="S182" s="45"/>
    </row>
    <row r="183" spans="1:19" ht="15.75" customHeight="1" x14ac:dyDescent="0.3">
      <c r="A183" s="16" t="s">
        <v>329</v>
      </c>
      <c r="B183" s="17">
        <v>45663</v>
      </c>
      <c r="C183" s="16" t="s">
        <v>43</v>
      </c>
      <c r="D183" s="16" t="s">
        <v>44</v>
      </c>
      <c r="E183" s="16" t="s">
        <v>106</v>
      </c>
      <c r="F183" s="16" t="s">
        <v>107</v>
      </c>
      <c r="G183" s="16" t="s">
        <v>47</v>
      </c>
      <c r="H183" s="16">
        <v>3</v>
      </c>
      <c r="I183" s="16">
        <v>299.99</v>
      </c>
      <c r="J183" s="16" t="s">
        <v>21</v>
      </c>
      <c r="K183" s="16" t="s">
        <v>36</v>
      </c>
      <c r="L183" s="16" t="s">
        <v>37</v>
      </c>
      <c r="M183" s="17">
        <v>44422</v>
      </c>
      <c r="N183" s="16">
        <v>899.97</v>
      </c>
      <c r="O183" s="45">
        <v>3</v>
      </c>
      <c r="P183" s="46">
        <f t="shared" ca="1" si="5"/>
        <v>46008.502499305556</v>
      </c>
      <c r="Q183" s="45" t="str">
        <f t="shared" si="6"/>
        <v>MB</v>
      </c>
      <c r="R183" s="45"/>
      <c r="S183" s="45"/>
    </row>
    <row r="184" spans="1:19" ht="15.75" customHeight="1" x14ac:dyDescent="0.3">
      <c r="A184" s="16" t="s">
        <v>330</v>
      </c>
      <c r="B184" s="17">
        <v>45666</v>
      </c>
      <c r="C184" s="16" t="s">
        <v>66</v>
      </c>
      <c r="D184" s="16" t="s">
        <v>67</v>
      </c>
      <c r="E184" s="16" t="s">
        <v>81</v>
      </c>
      <c r="F184" s="16" t="s">
        <v>82</v>
      </c>
      <c r="G184" s="16" t="s">
        <v>20</v>
      </c>
      <c r="H184" s="16">
        <v>3</v>
      </c>
      <c r="I184" s="16">
        <v>699.99</v>
      </c>
      <c r="J184" s="16" t="s">
        <v>27</v>
      </c>
      <c r="K184" s="16" t="s">
        <v>22</v>
      </c>
      <c r="L184" s="16" t="s">
        <v>28</v>
      </c>
      <c r="M184" s="17">
        <v>45105</v>
      </c>
      <c r="N184" s="16">
        <v>2099.9699999999998</v>
      </c>
      <c r="O184" s="45">
        <v>1</v>
      </c>
      <c r="P184" s="46">
        <f t="shared" ca="1" si="5"/>
        <v>46008.502499305556</v>
      </c>
      <c r="Q184" s="45" t="str">
        <f t="shared" si="6"/>
        <v>KH</v>
      </c>
      <c r="R184" s="45"/>
      <c r="S184" s="45"/>
    </row>
    <row r="185" spans="1:19" ht="15.75" customHeight="1" x14ac:dyDescent="0.3">
      <c r="A185" s="16" t="s">
        <v>331</v>
      </c>
      <c r="B185" s="17">
        <v>45667</v>
      </c>
      <c r="C185" s="16" t="s">
        <v>109</v>
      </c>
      <c r="D185" s="16" t="s">
        <v>110</v>
      </c>
      <c r="E185" s="16" t="s">
        <v>127</v>
      </c>
      <c r="F185" s="16" t="s">
        <v>128</v>
      </c>
      <c r="G185" s="16" t="s">
        <v>47</v>
      </c>
      <c r="H185" s="16">
        <v>5</v>
      </c>
      <c r="I185" s="16">
        <v>199.99</v>
      </c>
      <c r="J185" s="16" t="s">
        <v>35</v>
      </c>
      <c r="K185" s="16" t="s">
        <v>22</v>
      </c>
      <c r="L185" s="16" t="s">
        <v>37</v>
      </c>
      <c r="M185" s="17">
        <v>44633</v>
      </c>
      <c r="N185" s="16">
        <v>999.95</v>
      </c>
      <c r="O185" s="45">
        <v>2</v>
      </c>
      <c r="P185" s="46">
        <f t="shared" ca="1" si="5"/>
        <v>46008.502499305556</v>
      </c>
      <c r="Q185" s="45" t="str">
        <f t="shared" si="6"/>
        <v>NC</v>
      </c>
      <c r="R185" s="45"/>
      <c r="S185" s="45"/>
    </row>
    <row r="186" spans="1:19" ht="15.75" customHeight="1" x14ac:dyDescent="0.3">
      <c r="A186" s="16" t="s">
        <v>332</v>
      </c>
      <c r="B186" s="17">
        <v>45667</v>
      </c>
      <c r="C186" s="16" t="s">
        <v>94</v>
      </c>
      <c r="D186" s="16" t="s">
        <v>95</v>
      </c>
      <c r="E186" s="16" t="s">
        <v>18</v>
      </c>
      <c r="F186" s="16" t="s">
        <v>19</v>
      </c>
      <c r="G186" s="16" t="s">
        <v>20</v>
      </c>
      <c r="H186" s="16">
        <v>5</v>
      </c>
      <c r="I186" s="16">
        <v>249.99</v>
      </c>
      <c r="J186" s="16" t="s">
        <v>27</v>
      </c>
      <c r="K186" s="16" t="s">
        <v>36</v>
      </c>
      <c r="L186" s="16" t="s">
        <v>23</v>
      </c>
      <c r="M186" s="17">
        <v>45330</v>
      </c>
      <c r="N186" s="16">
        <v>1249.95</v>
      </c>
      <c r="O186" s="45">
        <v>0</v>
      </c>
      <c r="P186" s="46">
        <f t="shared" ca="1" si="5"/>
        <v>46008.502499305556</v>
      </c>
      <c r="Q186" s="45" t="str">
        <f t="shared" si="6"/>
        <v>VS</v>
      </c>
      <c r="R186" s="45"/>
      <c r="S186" s="45"/>
    </row>
    <row r="187" spans="1:19" ht="15.75" customHeight="1" x14ac:dyDescent="0.3">
      <c r="A187" s="16" t="s">
        <v>333</v>
      </c>
      <c r="B187" s="17">
        <v>45668</v>
      </c>
      <c r="C187" s="16" t="s">
        <v>139</v>
      </c>
      <c r="D187" s="16" t="s">
        <v>140</v>
      </c>
      <c r="E187" s="16" t="s">
        <v>53</v>
      </c>
      <c r="F187" s="16" t="s">
        <v>54</v>
      </c>
      <c r="G187" s="16" t="s">
        <v>20</v>
      </c>
      <c r="H187" s="16">
        <v>4</v>
      </c>
      <c r="I187" s="16">
        <v>149.99</v>
      </c>
      <c r="J187" s="16" t="s">
        <v>58</v>
      </c>
      <c r="K187" s="16" t="s">
        <v>64</v>
      </c>
      <c r="L187" s="16" t="s">
        <v>37</v>
      </c>
      <c r="M187" s="17">
        <v>44536</v>
      </c>
      <c r="N187" s="16">
        <v>599.96</v>
      </c>
      <c r="O187" s="45">
        <v>3</v>
      </c>
      <c r="P187" s="46">
        <f t="shared" ca="1" si="5"/>
        <v>46008.502499305556</v>
      </c>
      <c r="Q187" s="45" t="str">
        <f t="shared" si="6"/>
        <v>ST</v>
      </c>
      <c r="R187" s="45"/>
      <c r="S187" s="45"/>
    </row>
    <row r="188" spans="1:19" ht="15.75" customHeight="1" x14ac:dyDescent="0.3">
      <c r="A188" s="16" t="s">
        <v>334</v>
      </c>
      <c r="B188" s="17">
        <v>45668</v>
      </c>
      <c r="C188" s="16" t="s">
        <v>79</v>
      </c>
      <c r="D188" s="16" t="s">
        <v>80</v>
      </c>
      <c r="E188" s="16" t="s">
        <v>81</v>
      </c>
      <c r="F188" s="16" t="s">
        <v>82</v>
      </c>
      <c r="G188" s="16" t="s">
        <v>20</v>
      </c>
      <c r="H188" s="16">
        <v>3</v>
      </c>
      <c r="I188" s="16">
        <v>699.99</v>
      </c>
      <c r="J188" s="16" t="s">
        <v>21</v>
      </c>
      <c r="K188" s="16" t="s">
        <v>41</v>
      </c>
      <c r="L188" s="16" t="s">
        <v>28</v>
      </c>
      <c r="M188" s="17">
        <v>44602</v>
      </c>
      <c r="N188" s="16">
        <v>2099.9699999999998</v>
      </c>
      <c r="O188" s="45">
        <v>2</v>
      </c>
      <c r="P188" s="46">
        <f t="shared" ca="1" si="5"/>
        <v>46008.502499305556</v>
      </c>
      <c r="Q188" s="45" t="str">
        <f t="shared" si="6"/>
        <v>MR</v>
      </c>
      <c r="R188" s="45"/>
      <c r="S188" s="45"/>
    </row>
    <row r="189" spans="1:19" ht="15.75" customHeight="1" x14ac:dyDescent="0.3">
      <c r="A189" s="16" t="s">
        <v>335</v>
      </c>
      <c r="B189" s="17">
        <v>45670</v>
      </c>
      <c r="C189" s="16" t="s">
        <v>294</v>
      </c>
      <c r="D189" s="16" t="s">
        <v>295</v>
      </c>
      <c r="E189" s="16" t="s">
        <v>115</v>
      </c>
      <c r="F189" s="16" t="s">
        <v>116</v>
      </c>
      <c r="G189" s="16" t="s">
        <v>34</v>
      </c>
      <c r="H189" s="16">
        <v>1</v>
      </c>
      <c r="I189" s="16">
        <v>79.989999999999995</v>
      </c>
      <c r="J189" s="16" t="s">
        <v>27</v>
      </c>
      <c r="K189" s="16" t="s">
        <v>36</v>
      </c>
      <c r="L189" s="16" t="s">
        <v>23</v>
      </c>
      <c r="M189" s="17">
        <v>45322</v>
      </c>
      <c r="N189" s="16">
        <v>79.989999999999995</v>
      </c>
      <c r="O189" s="45">
        <v>0</v>
      </c>
      <c r="P189" s="46">
        <f t="shared" ca="1" si="5"/>
        <v>46008.502499305556</v>
      </c>
      <c r="Q189" s="45" t="str">
        <f t="shared" si="6"/>
        <v>DW</v>
      </c>
      <c r="R189" s="45"/>
      <c r="S189" s="45"/>
    </row>
    <row r="190" spans="1:19" ht="15.75" customHeight="1" x14ac:dyDescent="0.3">
      <c r="A190" s="16" t="s">
        <v>336</v>
      </c>
      <c r="B190" s="17">
        <v>45670</v>
      </c>
      <c r="C190" s="16" t="s">
        <v>87</v>
      </c>
      <c r="D190" s="16" t="s">
        <v>88</v>
      </c>
      <c r="E190" s="16" t="s">
        <v>106</v>
      </c>
      <c r="F190" s="16" t="s">
        <v>107</v>
      </c>
      <c r="G190" s="16" t="s">
        <v>47</v>
      </c>
      <c r="H190" s="16">
        <v>1</v>
      </c>
      <c r="I190" s="16">
        <v>299.99</v>
      </c>
      <c r="J190" s="16" t="s">
        <v>27</v>
      </c>
      <c r="K190" s="16" t="s">
        <v>41</v>
      </c>
      <c r="L190" s="16" t="s">
        <v>23</v>
      </c>
      <c r="M190" s="17">
        <v>44436</v>
      </c>
      <c r="N190" s="16">
        <v>299.99</v>
      </c>
      <c r="O190" s="45">
        <v>3</v>
      </c>
      <c r="P190" s="46">
        <f t="shared" ca="1" si="5"/>
        <v>46008.502499305556</v>
      </c>
      <c r="Q190" s="45" t="str">
        <f t="shared" si="6"/>
        <v>MC</v>
      </c>
      <c r="R190" s="45"/>
      <c r="S190" s="45"/>
    </row>
    <row r="191" spans="1:19" ht="15.75" customHeight="1" x14ac:dyDescent="0.3">
      <c r="A191" s="16" t="s">
        <v>337</v>
      </c>
      <c r="B191" s="17">
        <v>45671</v>
      </c>
      <c r="C191" s="16" t="s">
        <v>159</v>
      </c>
      <c r="D191" s="16" t="s">
        <v>160</v>
      </c>
      <c r="E191" s="16" t="s">
        <v>18</v>
      </c>
      <c r="F191" s="16" t="s">
        <v>19</v>
      </c>
      <c r="G191" s="16" t="s">
        <v>20</v>
      </c>
      <c r="H191" s="16">
        <v>4</v>
      </c>
      <c r="I191" s="16">
        <v>249.99</v>
      </c>
      <c r="J191" s="16" t="s">
        <v>27</v>
      </c>
      <c r="K191" s="16" t="s">
        <v>41</v>
      </c>
      <c r="L191" s="16" t="s">
        <v>28</v>
      </c>
      <c r="M191" s="17">
        <v>44460</v>
      </c>
      <c r="N191" s="16">
        <v>999.96</v>
      </c>
      <c r="O191" s="45">
        <v>3</v>
      </c>
      <c r="P191" s="46">
        <f t="shared" ca="1" si="5"/>
        <v>46008.502499305556</v>
      </c>
      <c r="Q191" s="45" t="str">
        <f t="shared" si="6"/>
        <v>BC</v>
      </c>
      <c r="R191" s="45"/>
      <c r="S191" s="45"/>
    </row>
    <row r="192" spans="1:19" ht="15.75" customHeight="1" x14ac:dyDescent="0.3">
      <c r="A192" s="16" t="s">
        <v>338</v>
      </c>
      <c r="B192" s="17">
        <v>45671</v>
      </c>
      <c r="C192" s="16" t="s">
        <v>121</v>
      </c>
      <c r="D192" s="16" t="s">
        <v>122</v>
      </c>
      <c r="E192" s="16" t="s">
        <v>53</v>
      </c>
      <c r="F192" s="16" t="s">
        <v>54</v>
      </c>
      <c r="G192" s="16" t="s">
        <v>20</v>
      </c>
      <c r="H192" s="16">
        <v>2</v>
      </c>
      <c r="I192" s="16">
        <v>149.99</v>
      </c>
      <c r="J192" s="16" t="s">
        <v>21</v>
      </c>
      <c r="K192" s="16" t="s">
        <v>41</v>
      </c>
      <c r="L192" s="16" t="s">
        <v>37</v>
      </c>
      <c r="M192" s="17">
        <v>44913</v>
      </c>
      <c r="N192" s="16">
        <v>299.98</v>
      </c>
      <c r="O192" s="45">
        <v>2</v>
      </c>
      <c r="P192" s="46">
        <f t="shared" ca="1" si="5"/>
        <v>46008.502499305556</v>
      </c>
      <c r="Q192" s="45" t="str">
        <f t="shared" si="6"/>
        <v>HR</v>
      </c>
      <c r="R192" s="45"/>
      <c r="S192" s="45"/>
    </row>
    <row r="193" spans="1:19" ht="15.75" customHeight="1" x14ac:dyDescent="0.3">
      <c r="A193" s="16" t="s">
        <v>339</v>
      </c>
      <c r="B193" s="17">
        <v>45671</v>
      </c>
      <c r="C193" s="16" t="s">
        <v>235</v>
      </c>
      <c r="D193" s="16" t="s">
        <v>236</v>
      </c>
      <c r="E193" s="16" t="s">
        <v>106</v>
      </c>
      <c r="F193" s="16" t="s">
        <v>107</v>
      </c>
      <c r="G193" s="16" t="s">
        <v>47</v>
      </c>
      <c r="H193" s="16">
        <v>3</v>
      </c>
      <c r="I193" s="16">
        <v>299.99</v>
      </c>
      <c r="J193" s="16" t="s">
        <v>27</v>
      </c>
      <c r="K193" s="16" t="s">
        <v>36</v>
      </c>
      <c r="L193" s="16" t="s">
        <v>23</v>
      </c>
      <c r="M193" s="17">
        <v>45204</v>
      </c>
      <c r="N193" s="16">
        <v>899.97</v>
      </c>
      <c r="O193" s="45">
        <v>1</v>
      </c>
      <c r="P193" s="46">
        <f t="shared" ca="1" si="5"/>
        <v>46008.502499305556</v>
      </c>
      <c r="Q193" s="45" t="str">
        <f t="shared" si="6"/>
        <v>SP</v>
      </c>
      <c r="R193" s="45"/>
      <c r="S193" s="45"/>
    </row>
    <row r="194" spans="1:19" ht="15.75" customHeight="1" x14ac:dyDescent="0.3">
      <c r="A194" s="16" t="s">
        <v>340</v>
      </c>
      <c r="B194" s="17">
        <v>45673</v>
      </c>
      <c r="C194" s="16" t="s">
        <v>227</v>
      </c>
      <c r="D194" s="16" t="s">
        <v>228</v>
      </c>
      <c r="E194" s="16" t="s">
        <v>127</v>
      </c>
      <c r="F194" s="16" t="s">
        <v>128</v>
      </c>
      <c r="G194" s="16" t="s">
        <v>47</v>
      </c>
      <c r="H194" s="16">
        <v>4</v>
      </c>
      <c r="I194" s="16">
        <v>199.99</v>
      </c>
      <c r="J194" s="16" t="s">
        <v>58</v>
      </c>
      <c r="K194" s="16" t="s">
        <v>36</v>
      </c>
      <c r="L194" s="16" t="s">
        <v>37</v>
      </c>
      <c r="M194" s="17">
        <v>44544</v>
      </c>
      <c r="N194" s="16">
        <v>799.96</v>
      </c>
      <c r="O194" s="45">
        <v>3</v>
      </c>
      <c r="P194" s="46">
        <f t="shared" ca="1" si="5"/>
        <v>46008.502499305556</v>
      </c>
      <c r="Q194" s="45" t="str">
        <f t="shared" si="6"/>
        <v>LR</v>
      </c>
      <c r="R194" s="45"/>
      <c r="S194" s="45"/>
    </row>
    <row r="195" spans="1:19" ht="15.75" customHeight="1" x14ac:dyDescent="0.3">
      <c r="A195" s="16" t="s">
        <v>341</v>
      </c>
      <c r="B195" s="17">
        <v>45673</v>
      </c>
      <c r="C195" s="16" t="s">
        <v>212</v>
      </c>
      <c r="D195" s="16" t="s">
        <v>213</v>
      </c>
      <c r="E195" s="16" t="s">
        <v>106</v>
      </c>
      <c r="F195" s="16" t="s">
        <v>107</v>
      </c>
      <c r="G195" s="16" t="s">
        <v>47</v>
      </c>
      <c r="H195" s="16">
        <v>5</v>
      </c>
      <c r="I195" s="16">
        <v>299.99</v>
      </c>
      <c r="J195" s="16" t="s">
        <v>58</v>
      </c>
      <c r="K195" s="16" t="s">
        <v>22</v>
      </c>
      <c r="L195" s="16" t="s">
        <v>23</v>
      </c>
      <c r="M195" s="17">
        <v>44431</v>
      </c>
      <c r="N195" s="16">
        <v>1499.95</v>
      </c>
      <c r="O195" s="45">
        <v>3</v>
      </c>
      <c r="P195" s="46">
        <f t="shared" ref="P195:P251" ca="1" si="7">NOW()</f>
        <v>46008.502499305556</v>
      </c>
      <c r="Q195" s="45" t="str">
        <f t="shared" ref="Q195:Q251" si="8">IFERROR(CONCATENATE(LEFT(D195, 1), MID(D195, FIND(" ", D195) + 1, 1)), LEFT(D195, 2))</f>
        <v>EH</v>
      </c>
      <c r="R195" s="45"/>
      <c r="S195" s="45"/>
    </row>
    <row r="196" spans="1:19" ht="15.75" customHeight="1" x14ac:dyDescent="0.3">
      <c r="A196" s="16" t="s">
        <v>342</v>
      </c>
      <c r="B196" s="17">
        <v>45673</v>
      </c>
      <c r="C196" s="16" t="s">
        <v>60</v>
      </c>
      <c r="D196" s="16" t="s">
        <v>61</v>
      </c>
      <c r="E196" s="16" t="s">
        <v>45</v>
      </c>
      <c r="F196" s="16" t="s">
        <v>46</v>
      </c>
      <c r="G196" s="16" t="s">
        <v>47</v>
      </c>
      <c r="H196" s="16">
        <v>3</v>
      </c>
      <c r="I196" s="16">
        <v>149.99</v>
      </c>
      <c r="J196" s="16" t="s">
        <v>27</v>
      </c>
      <c r="K196" s="16" t="s">
        <v>64</v>
      </c>
      <c r="L196" s="16" t="s">
        <v>37</v>
      </c>
      <c r="M196" s="17">
        <v>44395</v>
      </c>
      <c r="N196" s="16">
        <v>449.97</v>
      </c>
      <c r="O196" s="45">
        <v>3</v>
      </c>
      <c r="P196" s="46">
        <f t="shared" ca="1" si="7"/>
        <v>46008.502499305556</v>
      </c>
      <c r="Q196" s="45" t="str">
        <f t="shared" si="8"/>
        <v>RT</v>
      </c>
      <c r="R196" s="45"/>
      <c r="S196" s="45"/>
    </row>
    <row r="197" spans="1:19" ht="15.75" customHeight="1" x14ac:dyDescent="0.3">
      <c r="A197" s="16" t="s">
        <v>343</v>
      </c>
      <c r="B197" s="17">
        <v>45676</v>
      </c>
      <c r="C197" s="16" t="s">
        <v>130</v>
      </c>
      <c r="D197" s="16" t="s">
        <v>131</v>
      </c>
      <c r="E197" s="16" t="s">
        <v>32</v>
      </c>
      <c r="F197" s="16" t="s">
        <v>33</v>
      </c>
      <c r="G197" s="16" t="s">
        <v>34</v>
      </c>
      <c r="H197" s="16">
        <v>5</v>
      </c>
      <c r="I197" s="16">
        <v>59.99</v>
      </c>
      <c r="J197" s="16" t="s">
        <v>58</v>
      </c>
      <c r="K197" s="16" t="s">
        <v>64</v>
      </c>
      <c r="L197" s="16" t="s">
        <v>23</v>
      </c>
      <c r="M197" s="17">
        <v>44642</v>
      </c>
      <c r="N197" s="16">
        <v>299.95</v>
      </c>
      <c r="O197" s="45">
        <v>2</v>
      </c>
      <c r="P197" s="46">
        <f t="shared" ca="1" si="7"/>
        <v>46008.502499305556</v>
      </c>
      <c r="Q197" s="45" t="str">
        <f t="shared" si="8"/>
        <v>LA</v>
      </c>
      <c r="R197" s="45"/>
      <c r="S197" s="45"/>
    </row>
    <row r="198" spans="1:19" ht="15.75" customHeight="1" x14ac:dyDescent="0.3">
      <c r="A198" s="16" t="s">
        <v>344</v>
      </c>
      <c r="B198" s="17">
        <v>45682</v>
      </c>
      <c r="C198" s="16" t="s">
        <v>69</v>
      </c>
      <c r="D198" s="16" t="s">
        <v>70</v>
      </c>
      <c r="E198" s="16" t="s">
        <v>32</v>
      </c>
      <c r="F198" s="16" t="s">
        <v>33</v>
      </c>
      <c r="G198" s="16" t="s">
        <v>34</v>
      </c>
      <c r="H198" s="16">
        <v>4</v>
      </c>
      <c r="I198" s="16">
        <v>59.99</v>
      </c>
      <c r="J198" s="16" t="s">
        <v>58</v>
      </c>
      <c r="K198" s="16" t="s">
        <v>64</v>
      </c>
      <c r="L198" s="16" t="s">
        <v>37</v>
      </c>
      <c r="M198" s="17">
        <v>44564</v>
      </c>
      <c r="N198" s="16">
        <v>239.96</v>
      </c>
      <c r="O198" s="45">
        <v>3</v>
      </c>
      <c r="P198" s="46">
        <f t="shared" ca="1" si="7"/>
        <v>46008.502499305556</v>
      </c>
      <c r="Q198" s="45" t="str">
        <f t="shared" si="8"/>
        <v>SG</v>
      </c>
      <c r="R198" s="45"/>
      <c r="S198" s="45"/>
    </row>
    <row r="199" spans="1:19" ht="15.75" customHeight="1" x14ac:dyDescent="0.3">
      <c r="A199" s="16" t="s">
        <v>345</v>
      </c>
      <c r="B199" s="17">
        <v>45683</v>
      </c>
      <c r="C199" s="16" t="s">
        <v>49</v>
      </c>
      <c r="D199" s="16" t="s">
        <v>50</v>
      </c>
      <c r="E199" s="16" t="s">
        <v>18</v>
      </c>
      <c r="F199" s="16" t="s">
        <v>19</v>
      </c>
      <c r="G199" s="16" t="s">
        <v>20</v>
      </c>
      <c r="H199" s="16">
        <v>4</v>
      </c>
      <c r="I199" s="16">
        <v>249.99</v>
      </c>
      <c r="J199" s="16" t="s">
        <v>58</v>
      </c>
      <c r="K199" s="16" t="s">
        <v>22</v>
      </c>
      <c r="L199" s="16" t="s">
        <v>28</v>
      </c>
      <c r="M199" s="17">
        <v>45217</v>
      </c>
      <c r="N199" s="16">
        <v>999.96</v>
      </c>
      <c r="O199" s="45">
        <v>1</v>
      </c>
      <c r="P199" s="46">
        <f t="shared" ca="1" si="7"/>
        <v>46008.502499305556</v>
      </c>
      <c r="Q199" s="45" t="str">
        <f t="shared" si="8"/>
        <v>DN</v>
      </c>
      <c r="R199" s="45"/>
      <c r="S199" s="45"/>
    </row>
    <row r="200" spans="1:19" ht="15.75" customHeight="1" x14ac:dyDescent="0.3">
      <c r="A200" s="16" t="s">
        <v>346</v>
      </c>
      <c r="B200" s="17">
        <v>45686</v>
      </c>
      <c r="C200" s="16" t="s">
        <v>253</v>
      </c>
      <c r="D200" s="16" t="s">
        <v>254</v>
      </c>
      <c r="E200" s="16" t="s">
        <v>62</v>
      </c>
      <c r="F200" s="16" t="s">
        <v>63</v>
      </c>
      <c r="G200" s="16" t="s">
        <v>20</v>
      </c>
      <c r="H200" s="16">
        <v>4</v>
      </c>
      <c r="I200" s="16">
        <v>899.99</v>
      </c>
      <c r="J200" s="16" t="s">
        <v>35</v>
      </c>
      <c r="K200" s="16" t="s">
        <v>22</v>
      </c>
      <c r="L200" s="16" t="s">
        <v>23</v>
      </c>
      <c r="M200" s="17">
        <v>44734</v>
      </c>
      <c r="N200" s="16">
        <v>3599.96</v>
      </c>
      <c r="O200" s="45">
        <v>2</v>
      </c>
      <c r="P200" s="46">
        <f t="shared" ca="1" si="7"/>
        <v>46008.502499305556</v>
      </c>
      <c r="Q200" s="45" t="str">
        <f t="shared" si="8"/>
        <v>WW</v>
      </c>
      <c r="R200" s="45"/>
      <c r="S200" s="45"/>
    </row>
    <row r="201" spans="1:19" ht="15.75" customHeight="1" x14ac:dyDescent="0.3">
      <c r="A201" s="16" t="s">
        <v>347</v>
      </c>
      <c r="B201" s="17">
        <v>45686</v>
      </c>
      <c r="C201" s="16" t="s">
        <v>87</v>
      </c>
      <c r="D201" s="16" t="s">
        <v>88</v>
      </c>
      <c r="E201" s="16" t="s">
        <v>106</v>
      </c>
      <c r="F201" s="16" t="s">
        <v>107</v>
      </c>
      <c r="G201" s="16" t="s">
        <v>47</v>
      </c>
      <c r="H201" s="16">
        <v>3</v>
      </c>
      <c r="I201" s="16">
        <v>299.99</v>
      </c>
      <c r="J201" s="16" t="s">
        <v>58</v>
      </c>
      <c r="K201" s="16" t="s">
        <v>51</v>
      </c>
      <c r="L201" s="16" t="s">
        <v>37</v>
      </c>
      <c r="M201" s="17">
        <v>44952</v>
      </c>
      <c r="N201" s="16">
        <v>899.97</v>
      </c>
      <c r="O201" s="45">
        <v>2</v>
      </c>
      <c r="P201" s="46">
        <f t="shared" ca="1" si="7"/>
        <v>46008.502499305556</v>
      </c>
      <c r="Q201" s="45" t="str">
        <f t="shared" si="8"/>
        <v>MC</v>
      </c>
      <c r="R201" s="45"/>
      <c r="S201" s="45"/>
    </row>
    <row r="202" spans="1:19" ht="15.75" customHeight="1" x14ac:dyDescent="0.3">
      <c r="A202" s="16" t="s">
        <v>348</v>
      </c>
      <c r="B202" s="17">
        <v>45686</v>
      </c>
      <c r="C202" s="16" t="s">
        <v>294</v>
      </c>
      <c r="D202" s="16" t="s">
        <v>295</v>
      </c>
      <c r="E202" s="16" t="s">
        <v>81</v>
      </c>
      <c r="F202" s="16" t="s">
        <v>82</v>
      </c>
      <c r="G202" s="16" t="s">
        <v>20</v>
      </c>
      <c r="H202" s="16">
        <v>2</v>
      </c>
      <c r="I202" s="16">
        <v>699.99</v>
      </c>
      <c r="J202" s="16" t="s">
        <v>58</v>
      </c>
      <c r="K202" s="16" t="s">
        <v>22</v>
      </c>
      <c r="L202" s="16" t="s">
        <v>28</v>
      </c>
      <c r="M202" s="17">
        <v>44681</v>
      </c>
      <c r="N202" s="16">
        <v>1399.98</v>
      </c>
      <c r="O202" s="45">
        <v>2</v>
      </c>
      <c r="P202" s="46">
        <f t="shared" ca="1" si="7"/>
        <v>46008.502499305556</v>
      </c>
      <c r="Q202" s="45" t="str">
        <f t="shared" si="8"/>
        <v>DW</v>
      </c>
      <c r="R202" s="45"/>
      <c r="S202" s="45"/>
    </row>
    <row r="203" spans="1:19" ht="15.75" customHeight="1" x14ac:dyDescent="0.3">
      <c r="A203" s="16" t="s">
        <v>349</v>
      </c>
      <c r="B203" s="17">
        <v>45688</v>
      </c>
      <c r="C203" s="16" t="s">
        <v>66</v>
      </c>
      <c r="D203" s="16" t="s">
        <v>67</v>
      </c>
      <c r="E203" s="16" t="s">
        <v>81</v>
      </c>
      <c r="F203" s="16" t="s">
        <v>82</v>
      </c>
      <c r="G203" s="16" t="s">
        <v>20</v>
      </c>
      <c r="H203" s="16">
        <v>4</v>
      </c>
      <c r="I203" s="16">
        <v>699.99</v>
      </c>
      <c r="J203" s="16" t="s">
        <v>58</v>
      </c>
      <c r="K203" s="16" t="s">
        <v>51</v>
      </c>
      <c r="L203" s="16" t="s">
        <v>28</v>
      </c>
      <c r="M203" s="17">
        <v>44692</v>
      </c>
      <c r="N203" s="16">
        <v>2799.96</v>
      </c>
      <c r="O203" s="45">
        <v>2</v>
      </c>
      <c r="P203" s="46">
        <f t="shared" ca="1" si="7"/>
        <v>46008.502499305556</v>
      </c>
      <c r="Q203" s="45" t="str">
        <f t="shared" si="8"/>
        <v>KH</v>
      </c>
      <c r="R203" s="45"/>
      <c r="S203" s="45"/>
    </row>
    <row r="204" spans="1:19" ht="15.75" customHeight="1" x14ac:dyDescent="0.3">
      <c r="A204" s="16" t="s">
        <v>350</v>
      </c>
      <c r="B204" s="17">
        <v>45688</v>
      </c>
      <c r="C204" s="16" t="s">
        <v>124</v>
      </c>
      <c r="D204" s="16" t="s">
        <v>125</v>
      </c>
      <c r="E204" s="16" t="s">
        <v>118</v>
      </c>
      <c r="F204" s="16" t="s">
        <v>119</v>
      </c>
      <c r="G204" s="16" t="s">
        <v>20</v>
      </c>
      <c r="H204" s="16">
        <v>2</v>
      </c>
      <c r="I204" s="16">
        <v>89.99</v>
      </c>
      <c r="J204" s="16" t="s">
        <v>58</v>
      </c>
      <c r="K204" s="16" t="s">
        <v>36</v>
      </c>
      <c r="L204" s="16" t="s">
        <v>23</v>
      </c>
      <c r="M204" s="17">
        <v>44777</v>
      </c>
      <c r="N204" s="16">
        <v>179.98</v>
      </c>
      <c r="O204" s="45">
        <v>2</v>
      </c>
      <c r="P204" s="46">
        <f t="shared" ca="1" si="7"/>
        <v>46008.502499305556</v>
      </c>
      <c r="Q204" s="45" t="str">
        <f t="shared" si="8"/>
        <v>EM</v>
      </c>
      <c r="R204" s="45"/>
      <c r="S204" s="45"/>
    </row>
    <row r="205" spans="1:19" ht="15.75" customHeight="1" x14ac:dyDescent="0.3">
      <c r="A205" s="16" t="s">
        <v>351</v>
      </c>
      <c r="B205" s="17">
        <v>45688</v>
      </c>
      <c r="C205" s="16" t="s">
        <v>43</v>
      </c>
      <c r="D205" s="16" t="s">
        <v>44</v>
      </c>
      <c r="E205" s="16" t="s">
        <v>118</v>
      </c>
      <c r="F205" s="16" t="s">
        <v>119</v>
      </c>
      <c r="G205" s="16" t="s">
        <v>20</v>
      </c>
      <c r="H205" s="16">
        <v>3</v>
      </c>
      <c r="I205" s="16">
        <v>89.99</v>
      </c>
      <c r="J205" s="16" t="s">
        <v>58</v>
      </c>
      <c r="K205" s="16" t="s">
        <v>36</v>
      </c>
      <c r="L205" s="16" t="s">
        <v>28</v>
      </c>
      <c r="M205" s="17">
        <v>45307</v>
      </c>
      <c r="N205" s="16">
        <v>269.97000000000003</v>
      </c>
      <c r="O205" s="45">
        <v>1</v>
      </c>
      <c r="P205" s="46">
        <f t="shared" ca="1" si="7"/>
        <v>46008.502499305556</v>
      </c>
      <c r="Q205" s="45" t="str">
        <f t="shared" si="8"/>
        <v>MB</v>
      </c>
      <c r="R205" s="45"/>
      <c r="S205" s="45"/>
    </row>
    <row r="206" spans="1:19" ht="15.75" customHeight="1" x14ac:dyDescent="0.3">
      <c r="A206" s="16" t="s">
        <v>352</v>
      </c>
      <c r="B206" s="17">
        <v>45692</v>
      </c>
      <c r="C206" s="16" t="s">
        <v>326</v>
      </c>
      <c r="D206" s="16" t="s">
        <v>327</v>
      </c>
      <c r="E206" s="16" t="s">
        <v>32</v>
      </c>
      <c r="F206" s="16" t="s">
        <v>33</v>
      </c>
      <c r="G206" s="16" t="s">
        <v>34</v>
      </c>
      <c r="H206" s="16">
        <v>1</v>
      </c>
      <c r="I206" s="16">
        <v>59.99</v>
      </c>
      <c r="J206" s="16" t="s">
        <v>58</v>
      </c>
      <c r="K206" s="16" t="s">
        <v>22</v>
      </c>
      <c r="L206" s="16" t="s">
        <v>37</v>
      </c>
      <c r="M206" s="17">
        <v>45045</v>
      </c>
      <c r="N206" s="16">
        <v>59.99</v>
      </c>
      <c r="O206" s="45">
        <v>1</v>
      </c>
      <c r="P206" s="46">
        <f t="shared" ca="1" si="7"/>
        <v>46008.502499305556</v>
      </c>
      <c r="Q206" s="45" t="str">
        <f t="shared" si="8"/>
        <v>AE</v>
      </c>
      <c r="R206" s="45"/>
      <c r="S206" s="45"/>
    </row>
    <row r="207" spans="1:19" ht="15.75" customHeight="1" x14ac:dyDescent="0.3">
      <c r="A207" s="16" t="s">
        <v>353</v>
      </c>
      <c r="B207" s="17">
        <v>45695</v>
      </c>
      <c r="C207" s="16" t="s">
        <v>247</v>
      </c>
      <c r="D207" s="16" t="s">
        <v>248</v>
      </c>
      <c r="E207" s="16" t="s">
        <v>45</v>
      </c>
      <c r="F207" s="16" t="s">
        <v>46</v>
      </c>
      <c r="G207" s="16" t="s">
        <v>47</v>
      </c>
      <c r="H207" s="16">
        <v>3</v>
      </c>
      <c r="I207" s="16">
        <v>149.99</v>
      </c>
      <c r="J207" s="16" t="s">
        <v>58</v>
      </c>
      <c r="K207" s="16" t="s">
        <v>41</v>
      </c>
      <c r="L207" s="16" t="s">
        <v>28</v>
      </c>
      <c r="M207" s="17">
        <v>44564</v>
      </c>
      <c r="N207" s="16">
        <v>449.97</v>
      </c>
      <c r="O207" s="45">
        <v>3</v>
      </c>
      <c r="P207" s="46">
        <f t="shared" ca="1" si="7"/>
        <v>46008.502499305556</v>
      </c>
      <c r="Q207" s="45" t="str">
        <f t="shared" si="8"/>
        <v>RB</v>
      </c>
      <c r="R207" s="45"/>
      <c r="S207" s="45"/>
    </row>
    <row r="208" spans="1:19" ht="15.75" customHeight="1" x14ac:dyDescent="0.3">
      <c r="A208" s="16" t="s">
        <v>354</v>
      </c>
      <c r="B208" s="17">
        <v>45695</v>
      </c>
      <c r="C208" s="16" t="s">
        <v>94</v>
      </c>
      <c r="D208" s="16" t="s">
        <v>95</v>
      </c>
      <c r="E208" s="16" t="s">
        <v>106</v>
      </c>
      <c r="F208" s="16" t="s">
        <v>107</v>
      </c>
      <c r="G208" s="16" t="s">
        <v>47</v>
      </c>
      <c r="H208" s="16">
        <v>5</v>
      </c>
      <c r="I208" s="16">
        <v>299.99</v>
      </c>
      <c r="J208" s="16" t="s">
        <v>27</v>
      </c>
      <c r="K208" s="16" t="s">
        <v>36</v>
      </c>
      <c r="L208" s="16" t="s">
        <v>23</v>
      </c>
      <c r="M208" s="17">
        <v>44959</v>
      </c>
      <c r="N208" s="16">
        <v>1499.95</v>
      </c>
      <c r="O208" s="45">
        <v>2</v>
      </c>
      <c r="P208" s="46">
        <f t="shared" ca="1" si="7"/>
        <v>46008.502499305556</v>
      </c>
      <c r="Q208" s="45" t="str">
        <f t="shared" si="8"/>
        <v>VS</v>
      </c>
      <c r="R208" s="45"/>
      <c r="S208" s="45"/>
    </row>
    <row r="209" spans="1:19" ht="15.75" customHeight="1" x14ac:dyDescent="0.3">
      <c r="A209" s="16" t="s">
        <v>355</v>
      </c>
      <c r="B209" s="17">
        <v>45696</v>
      </c>
      <c r="C209" s="16" t="s">
        <v>151</v>
      </c>
      <c r="D209" s="16" t="s">
        <v>152</v>
      </c>
      <c r="E209" s="16" t="s">
        <v>32</v>
      </c>
      <c r="F209" s="16" t="s">
        <v>33</v>
      </c>
      <c r="G209" s="16" t="s">
        <v>34</v>
      </c>
      <c r="H209" s="16">
        <v>5</v>
      </c>
      <c r="I209" s="16">
        <v>59.99</v>
      </c>
      <c r="J209" s="16" t="s">
        <v>58</v>
      </c>
      <c r="K209" s="16" t="s">
        <v>22</v>
      </c>
      <c r="L209" s="16" t="s">
        <v>37</v>
      </c>
      <c r="M209" s="17">
        <v>45177</v>
      </c>
      <c r="N209" s="16">
        <v>299.95</v>
      </c>
      <c r="O209" s="45">
        <v>1</v>
      </c>
      <c r="P209" s="46">
        <f t="shared" ca="1" si="7"/>
        <v>46008.502499305556</v>
      </c>
      <c r="Q209" s="45" t="str">
        <f t="shared" si="8"/>
        <v>SB</v>
      </c>
      <c r="R209" s="45"/>
      <c r="S209" s="45"/>
    </row>
    <row r="210" spans="1:19" ht="15.75" customHeight="1" x14ac:dyDescent="0.3">
      <c r="A210" s="16" t="s">
        <v>356</v>
      </c>
      <c r="B210" s="17">
        <v>45701</v>
      </c>
      <c r="C210" s="16" t="s">
        <v>109</v>
      </c>
      <c r="D210" s="16" t="s">
        <v>110</v>
      </c>
      <c r="E210" s="16" t="s">
        <v>115</v>
      </c>
      <c r="F210" s="16" t="s">
        <v>116</v>
      </c>
      <c r="G210" s="16" t="s">
        <v>34</v>
      </c>
      <c r="H210" s="16">
        <v>3</v>
      </c>
      <c r="I210" s="16">
        <v>79.989999999999995</v>
      </c>
      <c r="J210" s="16" t="s">
        <v>21</v>
      </c>
      <c r="K210" s="16" t="s">
        <v>64</v>
      </c>
      <c r="L210" s="16" t="s">
        <v>28</v>
      </c>
      <c r="M210" s="17">
        <v>44436</v>
      </c>
      <c r="N210" s="16">
        <v>239.97</v>
      </c>
      <c r="O210" s="45">
        <v>3</v>
      </c>
      <c r="P210" s="46">
        <f t="shared" ca="1" si="7"/>
        <v>46008.502499305556</v>
      </c>
      <c r="Q210" s="45" t="str">
        <f t="shared" si="8"/>
        <v>NC</v>
      </c>
      <c r="R210" s="45"/>
      <c r="S210" s="45"/>
    </row>
    <row r="211" spans="1:19" ht="15.75" customHeight="1" x14ac:dyDescent="0.3">
      <c r="A211" s="16" t="s">
        <v>357</v>
      </c>
      <c r="B211" s="17">
        <v>45704</v>
      </c>
      <c r="C211" s="16" t="s">
        <v>30</v>
      </c>
      <c r="D211" s="16" t="s">
        <v>31</v>
      </c>
      <c r="E211" s="16" t="s">
        <v>127</v>
      </c>
      <c r="F211" s="16" t="s">
        <v>128</v>
      </c>
      <c r="G211" s="16" t="s">
        <v>47</v>
      </c>
      <c r="H211" s="16">
        <v>3</v>
      </c>
      <c r="I211" s="16">
        <v>199.99</v>
      </c>
      <c r="J211" s="16" t="s">
        <v>21</v>
      </c>
      <c r="K211" s="16" t="s">
        <v>22</v>
      </c>
      <c r="L211" s="16" t="s">
        <v>23</v>
      </c>
      <c r="M211" s="17">
        <v>44735</v>
      </c>
      <c r="N211" s="16">
        <v>599.97</v>
      </c>
      <c r="O211" s="45">
        <v>2</v>
      </c>
      <c r="P211" s="46">
        <f t="shared" ca="1" si="7"/>
        <v>46008.502499305556</v>
      </c>
      <c r="Q211" s="45" t="str">
        <f t="shared" si="8"/>
        <v>KS</v>
      </c>
      <c r="R211" s="45"/>
      <c r="S211" s="45"/>
    </row>
    <row r="212" spans="1:19" ht="15.75" customHeight="1" x14ac:dyDescent="0.3">
      <c r="A212" s="16" t="s">
        <v>358</v>
      </c>
      <c r="B212" s="17">
        <v>45704</v>
      </c>
      <c r="C212" s="16" t="s">
        <v>16</v>
      </c>
      <c r="D212" s="16" t="s">
        <v>17</v>
      </c>
      <c r="E212" s="16" t="s">
        <v>118</v>
      </c>
      <c r="F212" s="16" t="s">
        <v>119</v>
      </c>
      <c r="G212" s="16" t="s">
        <v>20</v>
      </c>
      <c r="H212" s="16">
        <v>2</v>
      </c>
      <c r="I212" s="16">
        <v>89.99</v>
      </c>
      <c r="J212" s="16" t="s">
        <v>35</v>
      </c>
      <c r="K212" s="16" t="s">
        <v>22</v>
      </c>
      <c r="L212" s="16" t="s">
        <v>23</v>
      </c>
      <c r="M212" s="17">
        <v>45257</v>
      </c>
      <c r="N212" s="16">
        <v>179.98</v>
      </c>
      <c r="O212" s="45">
        <v>1</v>
      </c>
      <c r="P212" s="46">
        <f t="shared" ca="1" si="7"/>
        <v>46008.502499305556</v>
      </c>
      <c r="Q212" s="45" t="str">
        <f t="shared" si="8"/>
        <v>PB</v>
      </c>
      <c r="R212" s="45"/>
      <c r="S212" s="45"/>
    </row>
    <row r="213" spans="1:19" ht="15.75" customHeight="1" x14ac:dyDescent="0.3">
      <c r="A213" s="16" t="s">
        <v>359</v>
      </c>
      <c r="B213" s="17">
        <v>45705</v>
      </c>
      <c r="C213" s="16" t="s">
        <v>260</v>
      </c>
      <c r="D213" s="16" t="s">
        <v>261</v>
      </c>
      <c r="E213" s="16" t="s">
        <v>45</v>
      </c>
      <c r="F213" s="16" t="s">
        <v>46</v>
      </c>
      <c r="G213" s="16" t="s">
        <v>47</v>
      </c>
      <c r="H213" s="16">
        <v>2</v>
      </c>
      <c r="I213" s="16">
        <v>149.99</v>
      </c>
      <c r="J213" s="16" t="s">
        <v>21</v>
      </c>
      <c r="K213" s="16" t="s">
        <v>36</v>
      </c>
      <c r="L213" s="16" t="s">
        <v>28</v>
      </c>
      <c r="M213" s="17">
        <v>44728</v>
      </c>
      <c r="N213" s="16">
        <v>299.98</v>
      </c>
      <c r="O213" s="45">
        <v>2</v>
      </c>
      <c r="P213" s="46">
        <f t="shared" ca="1" si="7"/>
        <v>46008.502499305556</v>
      </c>
      <c r="Q213" s="45" t="str">
        <f t="shared" si="8"/>
        <v>RL</v>
      </c>
      <c r="R213" s="45"/>
      <c r="S213" s="45"/>
    </row>
    <row r="214" spans="1:19" ht="15.75" customHeight="1" x14ac:dyDescent="0.3">
      <c r="A214" s="16" t="s">
        <v>360</v>
      </c>
      <c r="B214" s="17">
        <v>45707</v>
      </c>
      <c r="C214" s="16" t="s">
        <v>124</v>
      </c>
      <c r="D214" s="16" t="s">
        <v>125</v>
      </c>
      <c r="E214" s="16" t="s">
        <v>81</v>
      </c>
      <c r="F214" s="16" t="s">
        <v>82</v>
      </c>
      <c r="G214" s="16" t="s">
        <v>20</v>
      </c>
      <c r="H214" s="16">
        <v>5</v>
      </c>
      <c r="I214" s="16">
        <v>699.99</v>
      </c>
      <c r="J214" s="16" t="s">
        <v>35</v>
      </c>
      <c r="K214" s="16" t="s">
        <v>36</v>
      </c>
      <c r="L214" s="16" t="s">
        <v>28</v>
      </c>
      <c r="M214" s="17">
        <v>45352</v>
      </c>
      <c r="N214" s="16">
        <v>3499.95</v>
      </c>
      <c r="O214" s="45">
        <v>0</v>
      </c>
      <c r="P214" s="46">
        <f t="shared" ca="1" si="7"/>
        <v>46008.502499305556</v>
      </c>
      <c r="Q214" s="45" t="str">
        <f t="shared" si="8"/>
        <v>EM</v>
      </c>
      <c r="R214" s="45"/>
      <c r="S214" s="45"/>
    </row>
    <row r="215" spans="1:19" ht="15.75" customHeight="1" x14ac:dyDescent="0.3">
      <c r="A215" s="16" t="s">
        <v>361</v>
      </c>
      <c r="B215" s="17">
        <v>45707</v>
      </c>
      <c r="C215" s="16" t="s">
        <v>43</v>
      </c>
      <c r="D215" s="16" t="s">
        <v>44</v>
      </c>
      <c r="E215" s="16" t="s">
        <v>45</v>
      </c>
      <c r="F215" s="16" t="s">
        <v>46</v>
      </c>
      <c r="G215" s="16" t="s">
        <v>47</v>
      </c>
      <c r="H215" s="16">
        <v>3</v>
      </c>
      <c r="I215" s="16">
        <v>149.99</v>
      </c>
      <c r="J215" s="16" t="s">
        <v>35</v>
      </c>
      <c r="K215" s="16" t="s">
        <v>22</v>
      </c>
      <c r="L215" s="16" t="s">
        <v>37</v>
      </c>
      <c r="M215" s="17">
        <v>44633</v>
      </c>
      <c r="N215" s="16">
        <v>449.97</v>
      </c>
      <c r="O215" s="45">
        <v>2</v>
      </c>
      <c r="P215" s="46">
        <f t="shared" ca="1" si="7"/>
        <v>46008.502499305556</v>
      </c>
      <c r="Q215" s="45" t="str">
        <f t="shared" si="8"/>
        <v>MB</v>
      </c>
      <c r="R215" s="45"/>
      <c r="S215" s="45"/>
    </row>
    <row r="216" spans="1:19" ht="15.75" customHeight="1" x14ac:dyDescent="0.3">
      <c r="A216" s="16" t="s">
        <v>362</v>
      </c>
      <c r="B216" s="17">
        <v>45708</v>
      </c>
      <c r="C216" s="16" t="s">
        <v>97</v>
      </c>
      <c r="D216" s="16" t="s">
        <v>98</v>
      </c>
      <c r="E216" s="16" t="s">
        <v>62</v>
      </c>
      <c r="F216" s="16" t="s">
        <v>63</v>
      </c>
      <c r="G216" s="16" t="s">
        <v>20</v>
      </c>
      <c r="H216" s="16">
        <v>3</v>
      </c>
      <c r="I216" s="16">
        <v>899.99</v>
      </c>
      <c r="J216" s="16" t="s">
        <v>21</v>
      </c>
      <c r="K216" s="16" t="s">
        <v>64</v>
      </c>
      <c r="L216" s="16" t="s">
        <v>37</v>
      </c>
      <c r="M216" s="17">
        <v>44613</v>
      </c>
      <c r="N216" s="16">
        <v>2699.97</v>
      </c>
      <c r="O216" s="45">
        <v>2</v>
      </c>
      <c r="P216" s="46">
        <f t="shared" ca="1" si="7"/>
        <v>46008.502499305556</v>
      </c>
      <c r="Q216" s="45" t="str">
        <f t="shared" si="8"/>
        <v>BY</v>
      </c>
      <c r="R216" s="45"/>
      <c r="S216" s="45"/>
    </row>
    <row r="217" spans="1:19" ht="15.75" customHeight="1" x14ac:dyDescent="0.3">
      <c r="A217" s="16" t="s">
        <v>363</v>
      </c>
      <c r="B217" s="17">
        <v>45708</v>
      </c>
      <c r="C217" s="16" t="s">
        <v>193</v>
      </c>
      <c r="D217" s="16" t="s">
        <v>194</v>
      </c>
      <c r="E217" s="16" t="s">
        <v>127</v>
      </c>
      <c r="F217" s="16" t="s">
        <v>128</v>
      </c>
      <c r="G217" s="16" t="s">
        <v>47</v>
      </c>
      <c r="H217" s="16">
        <v>3</v>
      </c>
      <c r="I217" s="16">
        <v>199.99</v>
      </c>
      <c r="J217" s="16" t="s">
        <v>21</v>
      </c>
      <c r="K217" s="16" t="s">
        <v>51</v>
      </c>
      <c r="L217" s="16" t="s">
        <v>28</v>
      </c>
      <c r="M217" s="17">
        <v>44823</v>
      </c>
      <c r="N217" s="16">
        <v>599.97</v>
      </c>
      <c r="O217" s="45">
        <v>2</v>
      </c>
      <c r="P217" s="46">
        <f t="shared" ca="1" si="7"/>
        <v>46008.502499305556</v>
      </c>
      <c r="Q217" s="45" t="str">
        <f t="shared" si="8"/>
        <v>FT</v>
      </c>
      <c r="R217" s="45"/>
      <c r="S217" s="45"/>
    </row>
    <row r="218" spans="1:19" ht="15.75" customHeight="1" x14ac:dyDescent="0.3">
      <c r="A218" s="16" t="s">
        <v>364</v>
      </c>
      <c r="B218" s="17">
        <v>45710</v>
      </c>
      <c r="C218" s="16" t="s">
        <v>56</v>
      </c>
      <c r="D218" s="16" t="s">
        <v>57</v>
      </c>
      <c r="E218" s="16" t="s">
        <v>106</v>
      </c>
      <c r="F218" s="16" t="s">
        <v>107</v>
      </c>
      <c r="G218" s="16" t="s">
        <v>47</v>
      </c>
      <c r="H218" s="16">
        <v>5</v>
      </c>
      <c r="I218" s="16">
        <v>299.99</v>
      </c>
      <c r="J218" s="16" t="s">
        <v>21</v>
      </c>
      <c r="K218" s="16" t="s">
        <v>51</v>
      </c>
      <c r="L218" s="16" t="s">
        <v>37</v>
      </c>
      <c r="M218" s="17">
        <v>45142</v>
      </c>
      <c r="N218" s="16">
        <v>1499.95</v>
      </c>
      <c r="O218" s="45">
        <v>1</v>
      </c>
      <c r="P218" s="46">
        <f t="shared" ca="1" si="7"/>
        <v>46008.502499305556</v>
      </c>
      <c r="Q218" s="45" t="str">
        <f t="shared" si="8"/>
        <v>CA</v>
      </c>
      <c r="R218" s="45"/>
      <c r="S218" s="45"/>
    </row>
    <row r="219" spans="1:19" ht="15.75" customHeight="1" x14ac:dyDescent="0.3">
      <c r="A219" s="16" t="s">
        <v>365</v>
      </c>
      <c r="B219" s="17">
        <v>45710</v>
      </c>
      <c r="C219" s="16" t="s">
        <v>151</v>
      </c>
      <c r="D219" s="16" t="s">
        <v>152</v>
      </c>
      <c r="E219" s="16" t="s">
        <v>81</v>
      </c>
      <c r="F219" s="16" t="s">
        <v>82</v>
      </c>
      <c r="G219" s="16" t="s">
        <v>20</v>
      </c>
      <c r="H219" s="16">
        <v>1</v>
      </c>
      <c r="I219" s="16">
        <v>699.99</v>
      </c>
      <c r="J219" s="16" t="s">
        <v>35</v>
      </c>
      <c r="K219" s="16" t="s">
        <v>51</v>
      </c>
      <c r="L219" s="16" t="s">
        <v>23</v>
      </c>
      <c r="M219" s="17">
        <v>44934</v>
      </c>
      <c r="N219" s="16">
        <v>699.99</v>
      </c>
      <c r="O219" s="45">
        <v>2</v>
      </c>
      <c r="P219" s="46">
        <f t="shared" ca="1" si="7"/>
        <v>46008.502499305556</v>
      </c>
      <c r="Q219" s="45" t="str">
        <f t="shared" si="8"/>
        <v>SB</v>
      </c>
      <c r="R219" s="45"/>
      <c r="S219" s="45"/>
    </row>
    <row r="220" spans="1:19" ht="15.75" customHeight="1" x14ac:dyDescent="0.3">
      <c r="A220" s="16" t="s">
        <v>366</v>
      </c>
      <c r="B220" s="17">
        <v>45711</v>
      </c>
      <c r="C220" s="16" t="s">
        <v>247</v>
      </c>
      <c r="D220" s="16" t="s">
        <v>248</v>
      </c>
      <c r="E220" s="16" t="s">
        <v>81</v>
      </c>
      <c r="F220" s="16" t="s">
        <v>82</v>
      </c>
      <c r="G220" s="16" t="s">
        <v>20</v>
      </c>
      <c r="H220" s="16">
        <v>1</v>
      </c>
      <c r="I220" s="16">
        <v>699.99</v>
      </c>
      <c r="J220" s="16" t="s">
        <v>21</v>
      </c>
      <c r="K220" s="16" t="s">
        <v>41</v>
      </c>
      <c r="L220" s="16" t="s">
        <v>28</v>
      </c>
      <c r="M220" s="17">
        <v>44583</v>
      </c>
      <c r="N220" s="16">
        <v>699.99</v>
      </c>
      <c r="O220" s="45">
        <v>3</v>
      </c>
      <c r="P220" s="46">
        <f t="shared" ca="1" si="7"/>
        <v>46008.502499305556</v>
      </c>
      <c r="Q220" s="45" t="str">
        <f t="shared" si="8"/>
        <v>RB</v>
      </c>
      <c r="R220" s="45"/>
      <c r="S220" s="45"/>
    </row>
    <row r="221" spans="1:19" ht="15.75" customHeight="1" x14ac:dyDescent="0.3">
      <c r="A221" s="16" t="s">
        <v>367</v>
      </c>
      <c r="B221" s="17">
        <v>45711</v>
      </c>
      <c r="C221" s="16" t="s">
        <v>326</v>
      </c>
      <c r="D221" s="16" t="s">
        <v>327</v>
      </c>
      <c r="E221" s="16" t="s">
        <v>45</v>
      </c>
      <c r="F221" s="16" t="s">
        <v>46</v>
      </c>
      <c r="G221" s="16" t="s">
        <v>47</v>
      </c>
      <c r="H221" s="16">
        <v>4</v>
      </c>
      <c r="I221" s="16">
        <v>149.99</v>
      </c>
      <c r="J221" s="16" t="s">
        <v>35</v>
      </c>
      <c r="K221" s="16" t="s">
        <v>41</v>
      </c>
      <c r="L221" s="16" t="s">
        <v>28</v>
      </c>
      <c r="M221" s="17">
        <v>44412</v>
      </c>
      <c r="N221" s="16">
        <v>599.96</v>
      </c>
      <c r="O221" s="45">
        <v>3</v>
      </c>
      <c r="P221" s="46">
        <f t="shared" ca="1" si="7"/>
        <v>46008.502499305556</v>
      </c>
      <c r="Q221" s="45" t="str">
        <f t="shared" si="8"/>
        <v>AE</v>
      </c>
      <c r="R221" s="45"/>
      <c r="S221" s="45"/>
    </row>
    <row r="222" spans="1:19" ht="15.75" customHeight="1" x14ac:dyDescent="0.3">
      <c r="A222" s="16" t="s">
        <v>368</v>
      </c>
      <c r="B222" s="17">
        <v>45711</v>
      </c>
      <c r="C222" s="16" t="s">
        <v>212</v>
      </c>
      <c r="D222" s="16" t="s">
        <v>213</v>
      </c>
      <c r="E222" s="16" t="s">
        <v>118</v>
      </c>
      <c r="F222" s="16" t="s">
        <v>119</v>
      </c>
      <c r="G222" s="16" t="s">
        <v>20</v>
      </c>
      <c r="H222" s="16">
        <v>5</v>
      </c>
      <c r="I222" s="16">
        <v>89.99</v>
      </c>
      <c r="J222" s="16" t="s">
        <v>35</v>
      </c>
      <c r="K222" s="16" t="s">
        <v>51</v>
      </c>
      <c r="L222" s="16" t="s">
        <v>28</v>
      </c>
      <c r="M222" s="17">
        <v>45140</v>
      </c>
      <c r="N222" s="16">
        <v>449.95</v>
      </c>
      <c r="O222" s="45">
        <v>1</v>
      </c>
      <c r="P222" s="46">
        <f t="shared" ca="1" si="7"/>
        <v>46008.502499305556</v>
      </c>
      <c r="Q222" s="45" t="str">
        <f t="shared" si="8"/>
        <v>EH</v>
      </c>
      <c r="R222" s="45"/>
      <c r="S222" s="45"/>
    </row>
    <row r="223" spans="1:19" ht="15.75" customHeight="1" x14ac:dyDescent="0.3">
      <c r="A223" s="16" t="s">
        <v>369</v>
      </c>
      <c r="B223" s="17">
        <v>45712</v>
      </c>
      <c r="C223" s="16" t="s">
        <v>139</v>
      </c>
      <c r="D223" s="16" t="s">
        <v>140</v>
      </c>
      <c r="E223" s="16" t="s">
        <v>127</v>
      </c>
      <c r="F223" s="16" t="s">
        <v>128</v>
      </c>
      <c r="G223" s="16" t="s">
        <v>47</v>
      </c>
      <c r="H223" s="16">
        <v>2</v>
      </c>
      <c r="I223" s="16">
        <v>199.99</v>
      </c>
      <c r="J223" s="16" t="s">
        <v>21</v>
      </c>
      <c r="K223" s="16" t="s">
        <v>22</v>
      </c>
      <c r="L223" s="16" t="s">
        <v>28</v>
      </c>
      <c r="M223" s="17">
        <v>44573</v>
      </c>
      <c r="N223" s="16">
        <v>399.98</v>
      </c>
      <c r="O223" s="45">
        <v>3</v>
      </c>
      <c r="P223" s="46">
        <f t="shared" ca="1" si="7"/>
        <v>46008.502499305556</v>
      </c>
      <c r="Q223" s="45" t="str">
        <f t="shared" si="8"/>
        <v>ST</v>
      </c>
      <c r="R223" s="45"/>
      <c r="S223" s="45"/>
    </row>
    <row r="224" spans="1:19" ht="15.75" customHeight="1" x14ac:dyDescent="0.3">
      <c r="A224" s="16" t="s">
        <v>370</v>
      </c>
      <c r="B224" s="17">
        <v>45715</v>
      </c>
      <c r="C224" s="16" t="s">
        <v>260</v>
      </c>
      <c r="D224" s="16" t="s">
        <v>261</v>
      </c>
      <c r="E224" s="16" t="s">
        <v>32</v>
      </c>
      <c r="F224" s="16" t="s">
        <v>33</v>
      </c>
      <c r="G224" s="16" t="s">
        <v>34</v>
      </c>
      <c r="H224" s="16">
        <v>4</v>
      </c>
      <c r="I224" s="16">
        <v>59.99</v>
      </c>
      <c r="J224" s="16" t="s">
        <v>21</v>
      </c>
      <c r="K224" s="16" t="s">
        <v>51</v>
      </c>
      <c r="L224" s="16" t="s">
        <v>37</v>
      </c>
      <c r="M224" s="17">
        <v>45070</v>
      </c>
      <c r="N224" s="16">
        <v>239.96</v>
      </c>
      <c r="O224" s="45">
        <v>1</v>
      </c>
      <c r="P224" s="46">
        <f t="shared" ca="1" si="7"/>
        <v>46008.502499305556</v>
      </c>
      <c r="Q224" s="45" t="str">
        <f t="shared" si="8"/>
        <v>RL</v>
      </c>
      <c r="R224" s="45"/>
      <c r="S224" s="45"/>
    </row>
    <row r="225" spans="1:19" ht="15.75" customHeight="1" x14ac:dyDescent="0.3">
      <c r="A225" s="16" t="s">
        <v>371</v>
      </c>
      <c r="B225" s="17">
        <v>45715</v>
      </c>
      <c r="C225" s="16" t="s">
        <v>94</v>
      </c>
      <c r="D225" s="16" t="s">
        <v>95</v>
      </c>
      <c r="E225" s="16" t="s">
        <v>106</v>
      </c>
      <c r="F225" s="16" t="s">
        <v>107</v>
      </c>
      <c r="G225" s="16" t="s">
        <v>47</v>
      </c>
      <c r="H225" s="16">
        <v>2</v>
      </c>
      <c r="I225" s="16">
        <v>299.99</v>
      </c>
      <c r="J225" s="16" t="s">
        <v>35</v>
      </c>
      <c r="K225" s="16" t="s">
        <v>36</v>
      </c>
      <c r="L225" s="16" t="s">
        <v>23</v>
      </c>
      <c r="M225" s="17">
        <v>44576</v>
      </c>
      <c r="N225" s="16">
        <v>599.98</v>
      </c>
      <c r="O225" s="45">
        <v>3</v>
      </c>
      <c r="P225" s="46">
        <f t="shared" ca="1" si="7"/>
        <v>46008.502499305556</v>
      </c>
      <c r="Q225" s="45" t="str">
        <f t="shared" si="8"/>
        <v>VS</v>
      </c>
      <c r="R225" s="45"/>
      <c r="S225" s="45"/>
    </row>
    <row r="226" spans="1:19" ht="15.75" customHeight="1" x14ac:dyDescent="0.3">
      <c r="A226" s="16" t="s">
        <v>372</v>
      </c>
      <c r="B226" s="17">
        <v>45718</v>
      </c>
      <c r="C226" s="16" t="s">
        <v>56</v>
      </c>
      <c r="D226" s="16" t="s">
        <v>57</v>
      </c>
      <c r="E226" s="16" t="s">
        <v>45</v>
      </c>
      <c r="F226" s="16" t="s">
        <v>46</v>
      </c>
      <c r="G226" s="16" t="s">
        <v>47</v>
      </c>
      <c r="H226" s="16">
        <v>2</v>
      </c>
      <c r="I226" s="16">
        <v>149.99</v>
      </c>
      <c r="J226" s="16" t="s">
        <v>21</v>
      </c>
      <c r="K226" s="16" t="s">
        <v>22</v>
      </c>
      <c r="L226" s="16" t="s">
        <v>23</v>
      </c>
      <c r="M226" s="17">
        <v>45068</v>
      </c>
      <c r="N226" s="16">
        <v>299.98</v>
      </c>
      <c r="O226" s="45">
        <v>1</v>
      </c>
      <c r="P226" s="46">
        <f t="shared" ca="1" si="7"/>
        <v>46008.502499305556</v>
      </c>
      <c r="Q226" s="45" t="str">
        <f t="shared" si="8"/>
        <v>CA</v>
      </c>
      <c r="R226" s="45"/>
      <c r="S226" s="45"/>
    </row>
    <row r="227" spans="1:19" ht="15.75" customHeight="1" x14ac:dyDescent="0.3">
      <c r="A227" s="16" t="s">
        <v>373</v>
      </c>
      <c r="B227" s="17">
        <v>45720</v>
      </c>
      <c r="C227" s="16" t="s">
        <v>227</v>
      </c>
      <c r="D227" s="16" t="s">
        <v>228</v>
      </c>
      <c r="E227" s="16" t="s">
        <v>81</v>
      </c>
      <c r="F227" s="16" t="s">
        <v>82</v>
      </c>
      <c r="G227" s="16" t="s">
        <v>20</v>
      </c>
      <c r="H227" s="16">
        <v>5</v>
      </c>
      <c r="I227" s="16">
        <v>699.99</v>
      </c>
      <c r="J227" s="16" t="s">
        <v>58</v>
      </c>
      <c r="K227" s="16" t="s">
        <v>64</v>
      </c>
      <c r="L227" s="16" t="s">
        <v>28</v>
      </c>
      <c r="M227" s="17">
        <v>45161</v>
      </c>
      <c r="N227" s="16">
        <v>3499.95</v>
      </c>
      <c r="O227" s="45">
        <v>1</v>
      </c>
      <c r="P227" s="46">
        <f t="shared" ca="1" si="7"/>
        <v>46008.502499305556</v>
      </c>
      <c r="Q227" s="45" t="str">
        <f t="shared" si="8"/>
        <v>LR</v>
      </c>
      <c r="R227" s="45"/>
      <c r="S227" s="45"/>
    </row>
    <row r="228" spans="1:19" ht="15.75" customHeight="1" x14ac:dyDescent="0.3">
      <c r="A228" s="16" t="s">
        <v>374</v>
      </c>
      <c r="B228" s="17">
        <v>45721</v>
      </c>
      <c r="C228" s="16" t="s">
        <v>76</v>
      </c>
      <c r="D228" s="16" t="s">
        <v>77</v>
      </c>
      <c r="E228" s="16" t="s">
        <v>32</v>
      </c>
      <c r="F228" s="16" t="s">
        <v>33</v>
      </c>
      <c r="G228" s="16" t="s">
        <v>34</v>
      </c>
      <c r="H228" s="16">
        <v>5</v>
      </c>
      <c r="I228" s="16">
        <v>59.99</v>
      </c>
      <c r="J228" s="16" t="s">
        <v>21</v>
      </c>
      <c r="K228" s="16" t="s">
        <v>51</v>
      </c>
      <c r="L228" s="16" t="s">
        <v>28</v>
      </c>
      <c r="M228" s="17">
        <v>45291</v>
      </c>
      <c r="N228" s="16">
        <v>299.95</v>
      </c>
      <c r="O228" s="45">
        <v>1</v>
      </c>
      <c r="P228" s="46">
        <f t="shared" ca="1" si="7"/>
        <v>46008.502499305556</v>
      </c>
      <c r="Q228" s="45" t="str">
        <f t="shared" si="8"/>
        <v>DG</v>
      </c>
      <c r="R228" s="45"/>
      <c r="S228" s="45"/>
    </row>
    <row r="229" spans="1:19" ht="15.75" customHeight="1" x14ac:dyDescent="0.3">
      <c r="A229" s="16" t="s">
        <v>375</v>
      </c>
      <c r="B229" s="17">
        <v>45723</v>
      </c>
      <c r="C229" s="16" t="s">
        <v>16</v>
      </c>
      <c r="D229" s="16" t="s">
        <v>17</v>
      </c>
      <c r="E229" s="16" t="s">
        <v>118</v>
      </c>
      <c r="F229" s="16" t="s">
        <v>119</v>
      </c>
      <c r="G229" s="16" t="s">
        <v>20</v>
      </c>
      <c r="H229" s="16">
        <v>2</v>
      </c>
      <c r="I229" s="16">
        <v>89.99</v>
      </c>
      <c r="J229" s="16" t="s">
        <v>27</v>
      </c>
      <c r="K229" s="16" t="s">
        <v>51</v>
      </c>
      <c r="L229" s="16" t="s">
        <v>28</v>
      </c>
      <c r="M229" s="17">
        <v>45295</v>
      </c>
      <c r="N229" s="16">
        <v>179.98</v>
      </c>
      <c r="O229" s="45">
        <v>1</v>
      </c>
      <c r="P229" s="46">
        <f t="shared" ca="1" si="7"/>
        <v>46008.502499305556</v>
      </c>
      <c r="Q229" s="45" t="str">
        <f t="shared" si="8"/>
        <v>PB</v>
      </c>
      <c r="R229" s="45"/>
      <c r="S229" s="45"/>
    </row>
    <row r="230" spans="1:19" ht="15.75" customHeight="1" x14ac:dyDescent="0.3">
      <c r="A230" s="16" t="s">
        <v>376</v>
      </c>
      <c r="B230" s="17">
        <v>45723</v>
      </c>
      <c r="C230" s="16" t="s">
        <v>121</v>
      </c>
      <c r="D230" s="16" t="s">
        <v>122</v>
      </c>
      <c r="E230" s="16" t="s">
        <v>18</v>
      </c>
      <c r="F230" s="16" t="s">
        <v>19</v>
      </c>
      <c r="G230" s="16" t="s">
        <v>20</v>
      </c>
      <c r="H230" s="16">
        <v>5</v>
      </c>
      <c r="I230" s="16">
        <v>249.99</v>
      </c>
      <c r="J230" s="16" t="s">
        <v>21</v>
      </c>
      <c r="K230" s="16" t="s">
        <v>64</v>
      </c>
      <c r="L230" s="16" t="s">
        <v>37</v>
      </c>
      <c r="M230" s="17">
        <v>44540</v>
      </c>
      <c r="N230" s="16">
        <v>1249.95</v>
      </c>
      <c r="O230" s="45">
        <v>3</v>
      </c>
      <c r="P230" s="46">
        <f t="shared" ca="1" si="7"/>
        <v>46008.502499305556</v>
      </c>
      <c r="Q230" s="45" t="str">
        <f t="shared" si="8"/>
        <v>HR</v>
      </c>
      <c r="R230" s="45"/>
      <c r="S230" s="45"/>
    </row>
    <row r="231" spans="1:19" ht="15.75" customHeight="1" x14ac:dyDescent="0.3">
      <c r="A231" s="16" t="s">
        <v>377</v>
      </c>
      <c r="B231" s="17">
        <v>45724</v>
      </c>
      <c r="C231" s="16" t="s">
        <v>227</v>
      </c>
      <c r="D231" s="16" t="s">
        <v>228</v>
      </c>
      <c r="E231" s="16" t="s">
        <v>45</v>
      </c>
      <c r="F231" s="16" t="s">
        <v>46</v>
      </c>
      <c r="G231" s="16" t="s">
        <v>47</v>
      </c>
      <c r="H231" s="16">
        <v>2</v>
      </c>
      <c r="I231" s="16">
        <v>149.99</v>
      </c>
      <c r="J231" s="16" t="s">
        <v>35</v>
      </c>
      <c r="K231" s="16" t="s">
        <v>22</v>
      </c>
      <c r="L231" s="16" t="s">
        <v>28</v>
      </c>
      <c r="M231" s="17">
        <v>44632</v>
      </c>
      <c r="N231" s="16">
        <v>299.98</v>
      </c>
      <c r="O231" s="45">
        <v>2</v>
      </c>
      <c r="P231" s="46">
        <f t="shared" ca="1" si="7"/>
        <v>46008.502499305556</v>
      </c>
      <c r="Q231" s="45" t="str">
        <f t="shared" si="8"/>
        <v>LR</v>
      </c>
      <c r="R231" s="45"/>
      <c r="S231" s="45"/>
    </row>
    <row r="232" spans="1:19" ht="15.75" customHeight="1" x14ac:dyDescent="0.3">
      <c r="A232" s="16" t="s">
        <v>378</v>
      </c>
      <c r="B232" s="17">
        <v>45724</v>
      </c>
      <c r="C232" s="16" t="s">
        <v>145</v>
      </c>
      <c r="D232" s="16" t="s">
        <v>146</v>
      </c>
      <c r="E232" s="16" t="s">
        <v>62</v>
      </c>
      <c r="F232" s="16" t="s">
        <v>63</v>
      </c>
      <c r="G232" s="16" t="s">
        <v>20</v>
      </c>
      <c r="H232" s="16">
        <v>5</v>
      </c>
      <c r="I232" s="16">
        <v>899.99</v>
      </c>
      <c r="J232" s="16" t="s">
        <v>35</v>
      </c>
      <c r="K232" s="16" t="s">
        <v>64</v>
      </c>
      <c r="L232" s="16" t="s">
        <v>28</v>
      </c>
      <c r="M232" s="17">
        <v>45389</v>
      </c>
      <c r="N232" s="16">
        <v>4499.95</v>
      </c>
      <c r="O232" s="45">
        <v>0</v>
      </c>
      <c r="P232" s="46">
        <f t="shared" ca="1" si="7"/>
        <v>46008.502499305556</v>
      </c>
      <c r="Q232" s="45" t="str">
        <f t="shared" si="8"/>
        <v>HM</v>
      </c>
      <c r="R232" s="45"/>
      <c r="S232" s="45"/>
    </row>
    <row r="233" spans="1:19" ht="15.75" customHeight="1" x14ac:dyDescent="0.3">
      <c r="A233" s="16" t="s">
        <v>379</v>
      </c>
      <c r="B233" s="17">
        <v>45724</v>
      </c>
      <c r="C233" s="16" t="s">
        <v>56</v>
      </c>
      <c r="D233" s="16" t="s">
        <v>57</v>
      </c>
      <c r="E233" s="16" t="s">
        <v>45</v>
      </c>
      <c r="F233" s="16" t="s">
        <v>46</v>
      </c>
      <c r="G233" s="16" t="s">
        <v>47</v>
      </c>
      <c r="H233" s="16">
        <v>4</v>
      </c>
      <c r="I233" s="16">
        <v>149.99</v>
      </c>
      <c r="J233" s="16" t="s">
        <v>21</v>
      </c>
      <c r="K233" s="16" t="s">
        <v>22</v>
      </c>
      <c r="L233" s="16" t="s">
        <v>37</v>
      </c>
      <c r="M233" s="17">
        <v>45263</v>
      </c>
      <c r="N233" s="16">
        <v>599.96</v>
      </c>
      <c r="O233" s="45">
        <v>1</v>
      </c>
      <c r="P233" s="46">
        <f t="shared" ca="1" si="7"/>
        <v>46008.502499305556</v>
      </c>
      <c r="Q233" s="45" t="str">
        <f t="shared" si="8"/>
        <v>CA</v>
      </c>
      <c r="R233" s="45"/>
      <c r="S233" s="45"/>
    </row>
    <row r="234" spans="1:19" ht="15.75" customHeight="1" x14ac:dyDescent="0.3">
      <c r="A234" s="16" t="s">
        <v>380</v>
      </c>
      <c r="B234" s="17">
        <v>45726</v>
      </c>
      <c r="C234" s="16" t="s">
        <v>145</v>
      </c>
      <c r="D234" s="16" t="s">
        <v>146</v>
      </c>
      <c r="E234" s="16" t="s">
        <v>18</v>
      </c>
      <c r="F234" s="16" t="s">
        <v>19</v>
      </c>
      <c r="G234" s="16" t="s">
        <v>20</v>
      </c>
      <c r="H234" s="16">
        <v>1</v>
      </c>
      <c r="I234" s="16">
        <v>249.99</v>
      </c>
      <c r="J234" s="16" t="s">
        <v>21</v>
      </c>
      <c r="K234" s="16" t="s">
        <v>41</v>
      </c>
      <c r="L234" s="16" t="s">
        <v>37</v>
      </c>
      <c r="M234" s="17">
        <v>45117</v>
      </c>
      <c r="N234" s="16">
        <v>249.99</v>
      </c>
      <c r="O234" s="45">
        <v>1</v>
      </c>
      <c r="P234" s="46">
        <f t="shared" ca="1" si="7"/>
        <v>46008.502499305556</v>
      </c>
      <c r="Q234" s="45" t="str">
        <f t="shared" si="8"/>
        <v>HM</v>
      </c>
      <c r="R234" s="45"/>
      <c r="S234" s="45"/>
    </row>
    <row r="235" spans="1:19" ht="15.75" customHeight="1" x14ac:dyDescent="0.3">
      <c r="A235" s="16" t="s">
        <v>381</v>
      </c>
      <c r="B235" s="17">
        <v>45734</v>
      </c>
      <c r="C235" s="16" t="s">
        <v>193</v>
      </c>
      <c r="D235" s="16" t="s">
        <v>194</v>
      </c>
      <c r="E235" s="16" t="s">
        <v>32</v>
      </c>
      <c r="F235" s="16" t="s">
        <v>33</v>
      </c>
      <c r="G235" s="16" t="s">
        <v>34</v>
      </c>
      <c r="H235" s="16">
        <v>2</v>
      </c>
      <c r="I235" s="16">
        <v>59.99</v>
      </c>
      <c r="J235" s="16" t="s">
        <v>27</v>
      </c>
      <c r="K235" s="16" t="s">
        <v>51</v>
      </c>
      <c r="L235" s="16" t="s">
        <v>23</v>
      </c>
      <c r="M235" s="17">
        <v>45193</v>
      </c>
      <c r="N235" s="16">
        <v>119.98</v>
      </c>
      <c r="O235" s="45">
        <v>1</v>
      </c>
      <c r="P235" s="46">
        <f t="shared" ca="1" si="7"/>
        <v>46008.502499305556</v>
      </c>
      <c r="Q235" s="45" t="str">
        <f t="shared" si="8"/>
        <v>FT</v>
      </c>
      <c r="R235" s="45"/>
      <c r="S235" s="45"/>
    </row>
    <row r="236" spans="1:19" ht="15.75" customHeight="1" x14ac:dyDescent="0.3">
      <c r="A236" s="16" t="s">
        <v>382</v>
      </c>
      <c r="B236" s="17">
        <v>45737</v>
      </c>
      <c r="C236" s="16" t="s">
        <v>133</v>
      </c>
      <c r="D236" s="16" t="s">
        <v>134</v>
      </c>
      <c r="E236" s="16" t="s">
        <v>45</v>
      </c>
      <c r="F236" s="16" t="s">
        <v>46</v>
      </c>
      <c r="G236" s="16" t="s">
        <v>47</v>
      </c>
      <c r="H236" s="16">
        <v>2</v>
      </c>
      <c r="I236" s="16">
        <v>149.99</v>
      </c>
      <c r="J236" s="16" t="s">
        <v>21</v>
      </c>
      <c r="K236" s="16" t="s">
        <v>51</v>
      </c>
      <c r="L236" s="16" t="s">
        <v>28</v>
      </c>
      <c r="M236" s="17">
        <v>45233</v>
      </c>
      <c r="N236" s="16">
        <v>299.98</v>
      </c>
      <c r="O236" s="45">
        <v>1</v>
      </c>
      <c r="P236" s="46">
        <f t="shared" ca="1" si="7"/>
        <v>46008.502499305556</v>
      </c>
      <c r="Q236" s="45" t="str">
        <f t="shared" si="8"/>
        <v>EW</v>
      </c>
      <c r="R236" s="45"/>
      <c r="S236" s="45"/>
    </row>
    <row r="237" spans="1:19" ht="15.75" customHeight="1" x14ac:dyDescent="0.3">
      <c r="A237" s="16" t="s">
        <v>383</v>
      </c>
      <c r="B237" s="17">
        <v>45737</v>
      </c>
      <c r="C237" s="16" t="s">
        <v>151</v>
      </c>
      <c r="D237" s="16" t="s">
        <v>152</v>
      </c>
      <c r="E237" s="16" t="s">
        <v>62</v>
      </c>
      <c r="F237" s="16" t="s">
        <v>63</v>
      </c>
      <c r="G237" s="16" t="s">
        <v>20</v>
      </c>
      <c r="H237" s="16">
        <v>3</v>
      </c>
      <c r="I237" s="16">
        <v>899.99</v>
      </c>
      <c r="J237" s="16" t="s">
        <v>58</v>
      </c>
      <c r="K237" s="16" t="s">
        <v>41</v>
      </c>
      <c r="L237" s="16" t="s">
        <v>28</v>
      </c>
      <c r="M237" s="17">
        <v>44876</v>
      </c>
      <c r="N237" s="16">
        <v>2699.97</v>
      </c>
      <c r="O237" s="45">
        <v>2</v>
      </c>
      <c r="P237" s="46">
        <f t="shared" ca="1" si="7"/>
        <v>46008.502499305556</v>
      </c>
      <c r="Q237" s="45" t="str">
        <f t="shared" si="8"/>
        <v>SB</v>
      </c>
      <c r="R237" s="45"/>
      <c r="S237" s="45"/>
    </row>
    <row r="238" spans="1:19" ht="15.75" customHeight="1" x14ac:dyDescent="0.3">
      <c r="A238" s="16" t="s">
        <v>384</v>
      </c>
      <c r="B238" s="17">
        <v>45737</v>
      </c>
      <c r="C238" s="16" t="s">
        <v>49</v>
      </c>
      <c r="D238" s="16" t="s">
        <v>50</v>
      </c>
      <c r="E238" s="16" t="s">
        <v>62</v>
      </c>
      <c r="F238" s="16" t="s">
        <v>63</v>
      </c>
      <c r="G238" s="16" t="s">
        <v>20</v>
      </c>
      <c r="H238" s="16">
        <v>3</v>
      </c>
      <c r="I238" s="16">
        <v>899.99</v>
      </c>
      <c r="J238" s="16" t="s">
        <v>35</v>
      </c>
      <c r="K238" s="16" t="s">
        <v>41</v>
      </c>
      <c r="L238" s="16" t="s">
        <v>23</v>
      </c>
      <c r="M238" s="17">
        <v>44975</v>
      </c>
      <c r="N238" s="16">
        <v>2699.97</v>
      </c>
      <c r="O238" s="45">
        <v>2</v>
      </c>
      <c r="P238" s="46">
        <f t="shared" ca="1" si="7"/>
        <v>46008.502499305556</v>
      </c>
      <c r="Q238" s="45" t="str">
        <f t="shared" si="8"/>
        <v>DN</v>
      </c>
      <c r="R238" s="45"/>
      <c r="S238" s="45"/>
    </row>
    <row r="239" spans="1:19" ht="15.75" customHeight="1" x14ac:dyDescent="0.3">
      <c r="A239" s="16" t="s">
        <v>385</v>
      </c>
      <c r="B239" s="17">
        <v>45739</v>
      </c>
      <c r="C239" s="16" t="s">
        <v>16</v>
      </c>
      <c r="D239" s="16" t="s">
        <v>17</v>
      </c>
      <c r="E239" s="16" t="s">
        <v>106</v>
      </c>
      <c r="F239" s="16" t="s">
        <v>107</v>
      </c>
      <c r="G239" s="16" t="s">
        <v>47</v>
      </c>
      <c r="H239" s="16">
        <v>3</v>
      </c>
      <c r="I239" s="16">
        <v>299.99</v>
      </c>
      <c r="J239" s="16" t="s">
        <v>27</v>
      </c>
      <c r="K239" s="16" t="s">
        <v>51</v>
      </c>
      <c r="L239" s="16" t="s">
        <v>28</v>
      </c>
      <c r="M239" s="17">
        <v>45234</v>
      </c>
      <c r="N239" s="16">
        <v>899.97</v>
      </c>
      <c r="O239" s="45">
        <v>1</v>
      </c>
      <c r="P239" s="46">
        <f t="shared" ca="1" si="7"/>
        <v>46008.502499305556</v>
      </c>
      <c r="Q239" s="45" t="str">
        <f t="shared" si="8"/>
        <v>PB</v>
      </c>
      <c r="R239" s="45"/>
      <c r="S239" s="45"/>
    </row>
    <row r="240" spans="1:19" ht="15.75" customHeight="1" x14ac:dyDescent="0.3">
      <c r="A240" s="16" t="s">
        <v>386</v>
      </c>
      <c r="B240" s="17">
        <v>45740</v>
      </c>
      <c r="C240" s="16" t="s">
        <v>387</v>
      </c>
      <c r="D240" s="16" t="s">
        <v>388</v>
      </c>
      <c r="E240" s="16" t="s">
        <v>45</v>
      </c>
      <c r="F240" s="16" t="s">
        <v>46</v>
      </c>
      <c r="G240" s="16" t="s">
        <v>47</v>
      </c>
      <c r="H240" s="16">
        <v>4</v>
      </c>
      <c r="I240" s="16">
        <v>149.99</v>
      </c>
      <c r="J240" s="16" t="s">
        <v>35</v>
      </c>
      <c r="K240" s="16" t="s">
        <v>51</v>
      </c>
      <c r="L240" s="16" t="s">
        <v>37</v>
      </c>
      <c r="M240" s="17">
        <v>44560</v>
      </c>
      <c r="N240" s="16">
        <v>599.96</v>
      </c>
      <c r="O240" s="45">
        <v>3</v>
      </c>
      <c r="P240" s="46">
        <f t="shared" ca="1" si="7"/>
        <v>46008.502499305556</v>
      </c>
      <c r="Q240" s="45" t="str">
        <f t="shared" si="8"/>
        <v>JS</v>
      </c>
      <c r="R240" s="45"/>
      <c r="S240" s="45"/>
    </row>
    <row r="241" spans="1:19" ht="15.75" customHeight="1" x14ac:dyDescent="0.3">
      <c r="A241" s="16" t="s">
        <v>389</v>
      </c>
      <c r="B241" s="17">
        <v>45743</v>
      </c>
      <c r="C241" s="16" t="s">
        <v>103</v>
      </c>
      <c r="D241" s="16" t="s">
        <v>104</v>
      </c>
      <c r="E241" s="16" t="s">
        <v>115</v>
      </c>
      <c r="F241" s="16" t="s">
        <v>116</v>
      </c>
      <c r="G241" s="16" t="s">
        <v>34</v>
      </c>
      <c r="H241" s="16">
        <v>4</v>
      </c>
      <c r="I241" s="16">
        <v>79.989999999999995</v>
      </c>
      <c r="J241" s="16" t="s">
        <v>27</v>
      </c>
      <c r="K241" s="16" t="s">
        <v>22</v>
      </c>
      <c r="L241" s="16" t="s">
        <v>23</v>
      </c>
      <c r="M241" s="17">
        <v>45288</v>
      </c>
      <c r="N241" s="16">
        <v>319.95999999999998</v>
      </c>
      <c r="O241" s="45">
        <v>1</v>
      </c>
      <c r="P241" s="46">
        <f t="shared" ca="1" si="7"/>
        <v>46008.502499305556</v>
      </c>
      <c r="Q241" s="45" t="str">
        <f t="shared" si="8"/>
        <v>CP</v>
      </c>
      <c r="R241" s="45"/>
      <c r="S241" s="45"/>
    </row>
    <row r="242" spans="1:19" ht="15.75" customHeight="1" x14ac:dyDescent="0.3">
      <c r="A242" s="16" t="s">
        <v>390</v>
      </c>
      <c r="B242" s="17">
        <v>45745</v>
      </c>
      <c r="C242" s="16" t="s">
        <v>186</v>
      </c>
      <c r="D242" s="16" t="s">
        <v>187</v>
      </c>
      <c r="E242" s="16" t="s">
        <v>118</v>
      </c>
      <c r="F242" s="16" t="s">
        <v>119</v>
      </c>
      <c r="G242" s="16" t="s">
        <v>20</v>
      </c>
      <c r="H242" s="16">
        <v>5</v>
      </c>
      <c r="I242" s="16">
        <v>89.99</v>
      </c>
      <c r="J242" s="16" t="s">
        <v>35</v>
      </c>
      <c r="K242" s="16" t="s">
        <v>36</v>
      </c>
      <c r="L242" s="16" t="s">
        <v>23</v>
      </c>
      <c r="M242" s="17">
        <v>44704</v>
      </c>
      <c r="N242" s="16">
        <v>449.95</v>
      </c>
      <c r="O242" s="45">
        <v>2</v>
      </c>
      <c r="P242" s="46">
        <f t="shared" ca="1" si="7"/>
        <v>46008.502499305556</v>
      </c>
      <c r="Q242" s="45" t="str">
        <f t="shared" si="8"/>
        <v>MW</v>
      </c>
      <c r="R242" s="45"/>
      <c r="S242" s="45"/>
    </row>
    <row r="243" spans="1:19" ht="15.75" customHeight="1" x14ac:dyDescent="0.3">
      <c r="A243" s="16" t="s">
        <v>391</v>
      </c>
      <c r="B243" s="17">
        <v>45746</v>
      </c>
      <c r="C243" s="16" t="s">
        <v>94</v>
      </c>
      <c r="D243" s="16" t="s">
        <v>95</v>
      </c>
      <c r="E243" s="16" t="s">
        <v>45</v>
      </c>
      <c r="F243" s="16" t="s">
        <v>46</v>
      </c>
      <c r="G243" s="16" t="s">
        <v>47</v>
      </c>
      <c r="H243" s="16">
        <v>3</v>
      </c>
      <c r="I243" s="16">
        <v>149.99</v>
      </c>
      <c r="J243" s="16" t="s">
        <v>35</v>
      </c>
      <c r="K243" s="16" t="s">
        <v>22</v>
      </c>
      <c r="L243" s="16" t="s">
        <v>37</v>
      </c>
      <c r="M243" s="17">
        <v>45171</v>
      </c>
      <c r="N243" s="16">
        <v>449.97</v>
      </c>
      <c r="O243" s="45">
        <v>1</v>
      </c>
      <c r="P243" s="46">
        <f t="shared" ca="1" si="7"/>
        <v>46008.502499305556</v>
      </c>
      <c r="Q243" s="45" t="str">
        <f t="shared" si="8"/>
        <v>VS</v>
      </c>
      <c r="R243" s="45"/>
      <c r="S243" s="45"/>
    </row>
    <row r="244" spans="1:19" ht="15.75" customHeight="1" x14ac:dyDescent="0.3">
      <c r="A244" s="16" t="s">
        <v>392</v>
      </c>
      <c r="B244" s="17">
        <v>45746</v>
      </c>
      <c r="C244" s="16" t="s">
        <v>66</v>
      </c>
      <c r="D244" s="16" t="s">
        <v>67</v>
      </c>
      <c r="E244" s="16" t="s">
        <v>118</v>
      </c>
      <c r="F244" s="16" t="s">
        <v>119</v>
      </c>
      <c r="G244" s="16" t="s">
        <v>20</v>
      </c>
      <c r="H244" s="16">
        <v>2</v>
      </c>
      <c r="I244" s="16">
        <v>89.99</v>
      </c>
      <c r="J244" s="16" t="s">
        <v>58</v>
      </c>
      <c r="K244" s="16" t="s">
        <v>51</v>
      </c>
      <c r="L244" s="16" t="s">
        <v>28</v>
      </c>
      <c r="M244" s="17">
        <v>44522</v>
      </c>
      <c r="N244" s="16">
        <v>179.98</v>
      </c>
      <c r="O244" s="45">
        <v>3</v>
      </c>
      <c r="P244" s="46">
        <f t="shared" ca="1" si="7"/>
        <v>46008.502499305556</v>
      </c>
      <c r="Q244" s="45" t="str">
        <f t="shared" si="8"/>
        <v>KH</v>
      </c>
      <c r="R244" s="45"/>
      <c r="S244" s="45"/>
    </row>
    <row r="245" spans="1:19" ht="15.75" customHeight="1" x14ac:dyDescent="0.3">
      <c r="A245" s="16" t="s">
        <v>393</v>
      </c>
      <c r="B245" s="17">
        <v>45748</v>
      </c>
      <c r="C245" s="16" t="s">
        <v>103</v>
      </c>
      <c r="D245" s="16" t="s">
        <v>104</v>
      </c>
      <c r="E245" s="16" t="s">
        <v>81</v>
      </c>
      <c r="F245" s="16" t="s">
        <v>82</v>
      </c>
      <c r="G245" s="16" t="s">
        <v>20</v>
      </c>
      <c r="H245" s="16">
        <v>2</v>
      </c>
      <c r="I245" s="16">
        <v>699.99</v>
      </c>
      <c r="J245" s="16" t="s">
        <v>35</v>
      </c>
      <c r="K245" s="16" t="s">
        <v>41</v>
      </c>
      <c r="L245" s="16" t="s">
        <v>37</v>
      </c>
      <c r="M245" s="17">
        <v>44618</v>
      </c>
      <c r="N245" s="16">
        <v>1399.98</v>
      </c>
      <c r="O245" s="45">
        <v>3</v>
      </c>
      <c r="P245" s="46">
        <f t="shared" ca="1" si="7"/>
        <v>46008.502499305556</v>
      </c>
      <c r="Q245" s="45" t="str">
        <f t="shared" si="8"/>
        <v>CP</v>
      </c>
      <c r="R245" s="45"/>
      <c r="S245" s="45"/>
    </row>
    <row r="246" spans="1:19" ht="15.75" customHeight="1" x14ac:dyDescent="0.3">
      <c r="A246" s="16" t="s">
        <v>394</v>
      </c>
      <c r="B246" s="17">
        <v>45749</v>
      </c>
      <c r="C246" s="16" t="s">
        <v>124</v>
      </c>
      <c r="D246" s="16" t="s">
        <v>125</v>
      </c>
      <c r="E246" s="16" t="s">
        <v>62</v>
      </c>
      <c r="F246" s="16" t="s">
        <v>63</v>
      </c>
      <c r="G246" s="16" t="s">
        <v>20</v>
      </c>
      <c r="H246" s="16">
        <v>3</v>
      </c>
      <c r="I246" s="16">
        <v>899.99</v>
      </c>
      <c r="J246" s="16" t="s">
        <v>21</v>
      </c>
      <c r="K246" s="16" t="s">
        <v>22</v>
      </c>
      <c r="L246" s="16" t="s">
        <v>37</v>
      </c>
      <c r="M246" s="17">
        <v>44953</v>
      </c>
      <c r="N246" s="16">
        <v>2699.97</v>
      </c>
      <c r="O246" s="45">
        <v>2</v>
      </c>
      <c r="P246" s="46">
        <f t="shared" ca="1" si="7"/>
        <v>46008.502499305556</v>
      </c>
      <c r="Q246" s="45" t="str">
        <f t="shared" si="8"/>
        <v>EM</v>
      </c>
      <c r="R246" s="45"/>
      <c r="S246" s="45"/>
    </row>
    <row r="247" spans="1:19" ht="15.75" customHeight="1" x14ac:dyDescent="0.3">
      <c r="A247" s="16" t="s">
        <v>395</v>
      </c>
      <c r="B247" s="17">
        <v>45755</v>
      </c>
      <c r="C247" s="16" t="s">
        <v>94</v>
      </c>
      <c r="D247" s="16" t="s">
        <v>95</v>
      </c>
      <c r="E247" s="16" t="s">
        <v>115</v>
      </c>
      <c r="F247" s="16" t="s">
        <v>116</v>
      </c>
      <c r="G247" s="16" t="s">
        <v>34</v>
      </c>
      <c r="H247" s="16">
        <v>3</v>
      </c>
      <c r="I247" s="16">
        <v>79.989999999999995</v>
      </c>
      <c r="J247" s="16" t="s">
        <v>27</v>
      </c>
      <c r="K247" s="16" t="s">
        <v>41</v>
      </c>
      <c r="L247" s="16" t="s">
        <v>23</v>
      </c>
      <c r="M247" s="17">
        <v>44511</v>
      </c>
      <c r="N247" s="16">
        <v>239.97</v>
      </c>
      <c r="O247" s="45">
        <v>3</v>
      </c>
      <c r="P247" s="46">
        <f t="shared" ca="1" si="7"/>
        <v>46008.502499305556</v>
      </c>
      <c r="Q247" s="45" t="str">
        <f t="shared" si="8"/>
        <v>VS</v>
      </c>
      <c r="R247" s="45"/>
      <c r="S247" s="45"/>
    </row>
    <row r="248" spans="1:19" ht="15.75" customHeight="1" x14ac:dyDescent="0.3">
      <c r="A248" s="16" t="s">
        <v>396</v>
      </c>
      <c r="B248" s="17">
        <v>45756</v>
      </c>
      <c r="C248" s="16" t="s">
        <v>60</v>
      </c>
      <c r="D248" s="16" t="s">
        <v>61</v>
      </c>
      <c r="E248" s="16" t="s">
        <v>118</v>
      </c>
      <c r="F248" s="16" t="s">
        <v>119</v>
      </c>
      <c r="G248" s="16" t="s">
        <v>20</v>
      </c>
      <c r="H248" s="16">
        <v>1</v>
      </c>
      <c r="I248" s="16">
        <v>89.99</v>
      </c>
      <c r="J248" s="16" t="s">
        <v>58</v>
      </c>
      <c r="K248" s="16" t="s">
        <v>64</v>
      </c>
      <c r="L248" s="16" t="s">
        <v>23</v>
      </c>
      <c r="M248" s="17">
        <v>45346</v>
      </c>
      <c r="N248" s="16">
        <v>89.99</v>
      </c>
      <c r="O248" s="45">
        <v>1</v>
      </c>
      <c r="P248" s="46">
        <f t="shared" ca="1" si="7"/>
        <v>46008.502499305556</v>
      </c>
      <c r="Q248" s="45" t="str">
        <f t="shared" si="8"/>
        <v>RT</v>
      </c>
      <c r="R248" s="45"/>
      <c r="S248" s="45"/>
    </row>
    <row r="249" spans="1:19" ht="15.75" customHeight="1" x14ac:dyDescent="0.3">
      <c r="A249" s="16" t="s">
        <v>397</v>
      </c>
      <c r="B249" s="17">
        <v>45758</v>
      </c>
      <c r="C249" s="16" t="s">
        <v>294</v>
      </c>
      <c r="D249" s="16" t="s">
        <v>295</v>
      </c>
      <c r="E249" s="16" t="s">
        <v>81</v>
      </c>
      <c r="F249" s="16" t="s">
        <v>82</v>
      </c>
      <c r="G249" s="16" t="s">
        <v>20</v>
      </c>
      <c r="H249" s="16">
        <v>3</v>
      </c>
      <c r="I249" s="16">
        <v>699.99</v>
      </c>
      <c r="J249" s="16" t="s">
        <v>35</v>
      </c>
      <c r="K249" s="16" t="s">
        <v>41</v>
      </c>
      <c r="L249" s="16" t="s">
        <v>23</v>
      </c>
      <c r="M249" s="17">
        <v>44909</v>
      </c>
      <c r="N249" s="16">
        <v>2099.9699999999998</v>
      </c>
      <c r="O249" s="45">
        <v>2</v>
      </c>
      <c r="P249" s="46">
        <f t="shared" ca="1" si="7"/>
        <v>46008.502499305556</v>
      </c>
      <c r="Q249" s="45" t="str">
        <f t="shared" si="8"/>
        <v>DW</v>
      </c>
      <c r="R249" s="45"/>
      <c r="S249" s="45"/>
    </row>
    <row r="250" spans="1:19" ht="15.75" customHeight="1" x14ac:dyDescent="0.3">
      <c r="A250" s="16" t="s">
        <v>398</v>
      </c>
      <c r="B250" s="17">
        <v>45758</v>
      </c>
      <c r="C250" s="16" t="s">
        <v>227</v>
      </c>
      <c r="D250" s="16" t="s">
        <v>228</v>
      </c>
      <c r="E250" s="16" t="s">
        <v>118</v>
      </c>
      <c r="F250" s="16" t="s">
        <v>119</v>
      </c>
      <c r="G250" s="16" t="s">
        <v>20</v>
      </c>
      <c r="H250" s="16">
        <v>2</v>
      </c>
      <c r="I250" s="16">
        <v>89.99</v>
      </c>
      <c r="J250" s="16" t="s">
        <v>58</v>
      </c>
      <c r="K250" s="16" t="s">
        <v>64</v>
      </c>
      <c r="L250" s="16" t="s">
        <v>23</v>
      </c>
      <c r="M250" s="17">
        <v>45088</v>
      </c>
      <c r="N250" s="16">
        <v>179.98</v>
      </c>
      <c r="O250" s="45">
        <v>1</v>
      </c>
      <c r="P250" s="46">
        <f t="shared" ca="1" si="7"/>
        <v>46008.502499305556</v>
      </c>
      <c r="Q250" s="45" t="str">
        <f t="shared" si="8"/>
        <v>LR</v>
      </c>
      <c r="R250" s="45"/>
      <c r="S250" s="45"/>
    </row>
    <row r="251" spans="1:19" ht="15.75" customHeight="1" x14ac:dyDescent="0.3">
      <c r="A251" s="16" t="s">
        <v>399</v>
      </c>
      <c r="B251" s="17">
        <v>45758</v>
      </c>
      <c r="C251" s="16" t="s">
        <v>139</v>
      </c>
      <c r="D251" s="16" t="s">
        <v>140</v>
      </c>
      <c r="E251" s="16" t="s">
        <v>118</v>
      </c>
      <c r="F251" s="16" t="s">
        <v>119</v>
      </c>
      <c r="G251" s="16" t="s">
        <v>20</v>
      </c>
      <c r="H251" s="16">
        <v>3</v>
      </c>
      <c r="I251" s="16">
        <v>89.99</v>
      </c>
      <c r="J251" s="16" t="s">
        <v>58</v>
      </c>
      <c r="K251" s="16" t="s">
        <v>41</v>
      </c>
      <c r="L251" s="16" t="s">
        <v>28</v>
      </c>
      <c r="M251" s="17">
        <v>44878</v>
      </c>
      <c r="N251" s="16">
        <v>269.97000000000003</v>
      </c>
      <c r="O251" s="45">
        <v>2</v>
      </c>
      <c r="P251" s="46">
        <f t="shared" ca="1" si="7"/>
        <v>46008.502499305556</v>
      </c>
      <c r="Q251" s="45" t="str">
        <f t="shared" si="8"/>
        <v>ST</v>
      </c>
      <c r="R251" s="45"/>
      <c r="S251" s="45"/>
    </row>
    <row r="252" spans="1:19" ht="15.75" customHeight="1" x14ac:dyDescent="0.3"/>
    <row r="253" spans="1:19" ht="15.75" customHeight="1" x14ac:dyDescent="0.3"/>
    <row r="254" spans="1:19" ht="15.75" customHeight="1" x14ac:dyDescent="0.3"/>
    <row r="255" spans="1:19" ht="15.75" customHeight="1" x14ac:dyDescent="0.3"/>
    <row r="256" spans="1:19" ht="15.75" customHeight="1" x14ac:dyDescent="0.3"/>
    <row r="257" s="9" customFormat="1" ht="15.75" customHeight="1" x14ac:dyDescent="0.3"/>
    <row r="258" s="9" customFormat="1" ht="15.75" customHeight="1" x14ac:dyDescent="0.3"/>
    <row r="259" s="9" customFormat="1" ht="15.75" customHeight="1" x14ac:dyDescent="0.3"/>
    <row r="260" s="9" customFormat="1" ht="15.75" customHeight="1" x14ac:dyDescent="0.3"/>
    <row r="261" s="9" customFormat="1" ht="15.75" customHeight="1" x14ac:dyDescent="0.3"/>
    <row r="262" s="9" customFormat="1" ht="15.75" customHeight="1" x14ac:dyDescent="0.3"/>
    <row r="263" s="9" customFormat="1" ht="15.75" customHeight="1" x14ac:dyDescent="0.3"/>
    <row r="264" s="9" customFormat="1" ht="15.75" customHeight="1" x14ac:dyDescent="0.3"/>
    <row r="265" s="9" customFormat="1" ht="15.75" customHeight="1" x14ac:dyDescent="0.3"/>
    <row r="266" s="9" customFormat="1" ht="15.75" customHeight="1" x14ac:dyDescent="0.3"/>
    <row r="267" s="9" customFormat="1" ht="15.75" customHeight="1" x14ac:dyDescent="0.3"/>
    <row r="268" s="9" customFormat="1" ht="15.75" customHeight="1" x14ac:dyDescent="0.3"/>
    <row r="269" s="9" customFormat="1" ht="15.75" customHeight="1" x14ac:dyDescent="0.3"/>
    <row r="270" s="9" customFormat="1" ht="15.75" customHeight="1" x14ac:dyDescent="0.3"/>
    <row r="271" s="9" customFormat="1" ht="15.75" customHeight="1" x14ac:dyDescent="0.3"/>
    <row r="272" s="9" customFormat="1" ht="15.75" customHeight="1" x14ac:dyDescent="0.3"/>
    <row r="273" s="9" customFormat="1" ht="15.75" customHeight="1" x14ac:dyDescent="0.3"/>
    <row r="274" s="9" customFormat="1" ht="15.75" customHeight="1" x14ac:dyDescent="0.3"/>
    <row r="275" s="9" customFormat="1" ht="15.75" customHeight="1" x14ac:dyDescent="0.3"/>
    <row r="276" s="9" customFormat="1" ht="15.75" customHeight="1" x14ac:dyDescent="0.3"/>
    <row r="277" s="9" customFormat="1" ht="15.75" customHeight="1" x14ac:dyDescent="0.3"/>
    <row r="278" s="9" customFormat="1" ht="15.75" customHeight="1" x14ac:dyDescent="0.3"/>
    <row r="279" s="9" customFormat="1" ht="15.75" customHeight="1" x14ac:dyDescent="0.3"/>
    <row r="280" s="9" customFormat="1" ht="15.75" customHeight="1" x14ac:dyDescent="0.3"/>
    <row r="281" s="9" customFormat="1" ht="15.75" customHeight="1" x14ac:dyDescent="0.3"/>
    <row r="282" s="9" customFormat="1" ht="15.75" customHeight="1" x14ac:dyDescent="0.3"/>
    <row r="283" s="9" customFormat="1" ht="15.75" customHeight="1" x14ac:dyDescent="0.3"/>
    <row r="284" s="9" customFormat="1" ht="15.75" customHeight="1" x14ac:dyDescent="0.3"/>
    <row r="285" s="9" customFormat="1" ht="15.75" customHeight="1" x14ac:dyDescent="0.3"/>
    <row r="286" s="9" customFormat="1" ht="15.75" customHeight="1" x14ac:dyDescent="0.3"/>
    <row r="287" s="9" customFormat="1" ht="15.75" customHeight="1" x14ac:dyDescent="0.3"/>
    <row r="288" s="9" customFormat="1" ht="15.75" customHeight="1" x14ac:dyDescent="0.3"/>
    <row r="289" s="9" customFormat="1" ht="15.75" customHeight="1" x14ac:dyDescent="0.3"/>
    <row r="290" s="9" customFormat="1" ht="15.75" customHeight="1" x14ac:dyDescent="0.3"/>
    <row r="291" s="9" customFormat="1" ht="15.75" customHeight="1" x14ac:dyDescent="0.3"/>
    <row r="292" s="9" customFormat="1" ht="15.75" customHeight="1" x14ac:dyDescent="0.3"/>
    <row r="293" s="9" customFormat="1" ht="15.75" customHeight="1" x14ac:dyDescent="0.3"/>
    <row r="294" s="9" customFormat="1" ht="15.75" customHeight="1" x14ac:dyDescent="0.3"/>
    <row r="295" s="9" customFormat="1" ht="15.75" customHeight="1" x14ac:dyDescent="0.3"/>
    <row r="296" s="9" customFormat="1" ht="15.75" customHeight="1" x14ac:dyDescent="0.3"/>
    <row r="297" s="9" customFormat="1" ht="15.75" customHeight="1" x14ac:dyDescent="0.3"/>
    <row r="298" s="9" customFormat="1" ht="15.75" customHeight="1" x14ac:dyDescent="0.3"/>
    <row r="299" s="9" customFormat="1" ht="15.75" customHeight="1" x14ac:dyDescent="0.3"/>
    <row r="300" s="9" customFormat="1" ht="15.75" customHeight="1" x14ac:dyDescent="0.3"/>
    <row r="301" s="9" customFormat="1" ht="15.75" customHeight="1" x14ac:dyDescent="0.3"/>
    <row r="302" s="9" customFormat="1" ht="15.75" customHeight="1" x14ac:dyDescent="0.3"/>
    <row r="303" s="9" customFormat="1" ht="15.75" customHeight="1" x14ac:dyDescent="0.3"/>
    <row r="304" s="9" customFormat="1" ht="15.75" customHeight="1" x14ac:dyDescent="0.3"/>
    <row r="305" s="9" customFormat="1" ht="15.75" customHeight="1" x14ac:dyDescent="0.3"/>
    <row r="306" s="9" customFormat="1" ht="15.75" customHeight="1" x14ac:dyDescent="0.3"/>
    <row r="307" s="9" customFormat="1" ht="15.75" customHeight="1" x14ac:dyDescent="0.3"/>
    <row r="308" s="9" customFormat="1" ht="15.75" customHeight="1" x14ac:dyDescent="0.3"/>
    <row r="309" s="9" customFormat="1" ht="15.75" customHeight="1" x14ac:dyDescent="0.3"/>
    <row r="310" s="9" customFormat="1" ht="15.75" customHeight="1" x14ac:dyDescent="0.3"/>
    <row r="311" s="9" customFormat="1" ht="15.75" customHeight="1" x14ac:dyDescent="0.3"/>
    <row r="312" s="9" customFormat="1" ht="15.75" customHeight="1" x14ac:dyDescent="0.3"/>
    <row r="313" s="9" customFormat="1" ht="15.75" customHeight="1" x14ac:dyDescent="0.3"/>
    <row r="314" s="9" customFormat="1" ht="15.75" customHeight="1" x14ac:dyDescent="0.3"/>
    <row r="315" s="9" customFormat="1" ht="15.75" customHeight="1" x14ac:dyDescent="0.3"/>
    <row r="316" s="9" customFormat="1" ht="15.75" customHeight="1" x14ac:dyDescent="0.3"/>
    <row r="317" s="9" customFormat="1" ht="15.75" customHeight="1" x14ac:dyDescent="0.3"/>
    <row r="318" s="9" customFormat="1" ht="15.75" customHeight="1" x14ac:dyDescent="0.3"/>
    <row r="319" s="9" customFormat="1" ht="15.75" customHeight="1" x14ac:dyDescent="0.3"/>
    <row r="320" s="9" customFormat="1" ht="15.75" customHeight="1" x14ac:dyDescent="0.3"/>
    <row r="321" s="9" customFormat="1" ht="15.75" customHeight="1" x14ac:dyDescent="0.3"/>
    <row r="322" s="9" customFormat="1" ht="15.75" customHeight="1" x14ac:dyDescent="0.3"/>
    <row r="323" s="9" customFormat="1" ht="15.75" customHeight="1" x14ac:dyDescent="0.3"/>
    <row r="324" s="9" customFormat="1" ht="15.75" customHeight="1" x14ac:dyDescent="0.3"/>
    <row r="325" s="9" customFormat="1" ht="15.75" customHeight="1" x14ac:dyDescent="0.3"/>
    <row r="326" s="9" customFormat="1" ht="15.75" customHeight="1" x14ac:dyDescent="0.3"/>
    <row r="327" s="9" customFormat="1" ht="15.75" customHeight="1" x14ac:dyDescent="0.3"/>
    <row r="328" s="9" customFormat="1" ht="15.75" customHeight="1" x14ac:dyDescent="0.3"/>
    <row r="329" s="9" customFormat="1" ht="15.75" customHeight="1" x14ac:dyDescent="0.3"/>
    <row r="330" s="9" customFormat="1" ht="15.75" customHeight="1" x14ac:dyDescent="0.3"/>
    <row r="331" s="9" customFormat="1" ht="15.75" customHeight="1" x14ac:dyDescent="0.3"/>
    <row r="332" s="9" customFormat="1" ht="15.75" customHeight="1" x14ac:dyDescent="0.3"/>
    <row r="333" s="9" customFormat="1" ht="15.75" customHeight="1" x14ac:dyDescent="0.3"/>
    <row r="334" s="9" customFormat="1" ht="15.75" customHeight="1" x14ac:dyDescent="0.3"/>
    <row r="335" s="9" customFormat="1" ht="15.75" customHeight="1" x14ac:dyDescent="0.3"/>
    <row r="336" s="9" customFormat="1" ht="15.75" customHeight="1" x14ac:dyDescent="0.3"/>
    <row r="337" s="9" customFormat="1" ht="15.75" customHeight="1" x14ac:dyDescent="0.3"/>
    <row r="338" s="9" customFormat="1" ht="15.75" customHeight="1" x14ac:dyDescent="0.3"/>
    <row r="339" s="9" customFormat="1" ht="15.75" customHeight="1" x14ac:dyDescent="0.3"/>
    <row r="340" s="9" customFormat="1" ht="15.75" customHeight="1" x14ac:dyDescent="0.3"/>
    <row r="341" s="9" customFormat="1" ht="15.75" customHeight="1" x14ac:dyDescent="0.3"/>
    <row r="342" s="9" customFormat="1" ht="15.75" customHeight="1" x14ac:dyDescent="0.3"/>
    <row r="343" s="9" customFormat="1" ht="15.75" customHeight="1" x14ac:dyDescent="0.3"/>
    <row r="344" s="9" customFormat="1" ht="15.75" customHeight="1" x14ac:dyDescent="0.3"/>
    <row r="345" s="9" customFormat="1" ht="15.75" customHeight="1" x14ac:dyDescent="0.3"/>
    <row r="346" s="9" customFormat="1" ht="15.75" customHeight="1" x14ac:dyDescent="0.3"/>
    <row r="347" s="9" customFormat="1" ht="15.75" customHeight="1" x14ac:dyDescent="0.3"/>
    <row r="348" s="9" customFormat="1" ht="15.75" customHeight="1" x14ac:dyDescent="0.3"/>
    <row r="349" s="9" customFormat="1" ht="15.75" customHeight="1" x14ac:dyDescent="0.3"/>
    <row r="350" s="9" customFormat="1" ht="15.75" customHeight="1" x14ac:dyDescent="0.3"/>
    <row r="351" s="9" customFormat="1" ht="15.75" customHeight="1" x14ac:dyDescent="0.3"/>
    <row r="352" s="9" customFormat="1" ht="15.75" customHeight="1" x14ac:dyDescent="0.3"/>
    <row r="353" s="9" customFormat="1" ht="15.75" customHeight="1" x14ac:dyDescent="0.3"/>
    <row r="354" s="9" customFormat="1" ht="15.75" customHeight="1" x14ac:dyDescent="0.3"/>
    <row r="355" s="9" customFormat="1" ht="15.75" customHeight="1" x14ac:dyDescent="0.3"/>
    <row r="356" s="9" customFormat="1" ht="15.75" customHeight="1" x14ac:dyDescent="0.3"/>
    <row r="357" s="9" customFormat="1" ht="15.75" customHeight="1" x14ac:dyDescent="0.3"/>
    <row r="358" s="9" customFormat="1" ht="15.75" customHeight="1" x14ac:dyDescent="0.3"/>
    <row r="359" s="9" customFormat="1" ht="15.75" customHeight="1" x14ac:dyDescent="0.3"/>
    <row r="360" s="9" customFormat="1" ht="15.75" customHeight="1" x14ac:dyDescent="0.3"/>
    <row r="361" s="9" customFormat="1" ht="15.75" customHeight="1" x14ac:dyDescent="0.3"/>
    <row r="362" s="9" customFormat="1" ht="15.75" customHeight="1" x14ac:dyDescent="0.3"/>
    <row r="363" s="9" customFormat="1" ht="15.75" customHeight="1" x14ac:dyDescent="0.3"/>
    <row r="364" s="9" customFormat="1" ht="15.75" customHeight="1" x14ac:dyDescent="0.3"/>
    <row r="365" s="9" customFormat="1" ht="15.75" customHeight="1" x14ac:dyDescent="0.3"/>
    <row r="366" s="9" customFormat="1" ht="15.75" customHeight="1" x14ac:dyDescent="0.3"/>
    <row r="367" s="9" customFormat="1" ht="15.75" customHeight="1" x14ac:dyDescent="0.3"/>
    <row r="368" s="9" customFormat="1" ht="15.75" customHeight="1" x14ac:dyDescent="0.3"/>
    <row r="369" s="9" customFormat="1" ht="15.75" customHeight="1" x14ac:dyDescent="0.3"/>
    <row r="370" s="9" customFormat="1" ht="15.75" customHeight="1" x14ac:dyDescent="0.3"/>
    <row r="371" s="9" customFormat="1" ht="15.75" customHeight="1" x14ac:dyDescent="0.3"/>
    <row r="372" s="9" customFormat="1" ht="15.75" customHeight="1" x14ac:dyDescent="0.3"/>
    <row r="373" s="9" customFormat="1" ht="15.75" customHeight="1" x14ac:dyDescent="0.3"/>
    <row r="374" s="9" customFormat="1" ht="15.75" customHeight="1" x14ac:dyDescent="0.3"/>
    <row r="375" s="9" customFormat="1" ht="15.75" customHeight="1" x14ac:dyDescent="0.3"/>
    <row r="376" s="9" customFormat="1" ht="15.75" customHeight="1" x14ac:dyDescent="0.3"/>
    <row r="377" s="9" customFormat="1" ht="15.75" customHeight="1" x14ac:dyDescent="0.3"/>
    <row r="378" s="9" customFormat="1" ht="15.75" customHeight="1" x14ac:dyDescent="0.3"/>
    <row r="379" s="9" customFormat="1" ht="15.75" customHeight="1" x14ac:dyDescent="0.3"/>
    <row r="380" s="9" customFormat="1" ht="15.75" customHeight="1" x14ac:dyDescent="0.3"/>
    <row r="381" s="9" customFormat="1" ht="15.75" customHeight="1" x14ac:dyDescent="0.3"/>
    <row r="382" s="9" customFormat="1" ht="15.75" customHeight="1" x14ac:dyDescent="0.3"/>
    <row r="383" s="9" customFormat="1" ht="15.75" customHeight="1" x14ac:dyDescent="0.3"/>
    <row r="384" s="9" customFormat="1" ht="15.75" customHeight="1" x14ac:dyDescent="0.3"/>
    <row r="385" s="9" customFormat="1" ht="15.75" customHeight="1" x14ac:dyDescent="0.3"/>
    <row r="386" s="9" customFormat="1" ht="15.75" customHeight="1" x14ac:dyDescent="0.3"/>
    <row r="387" s="9" customFormat="1" ht="15.75" customHeight="1" x14ac:dyDescent="0.3"/>
    <row r="388" s="9" customFormat="1" ht="15.75" customHeight="1" x14ac:dyDescent="0.3"/>
    <row r="389" s="9" customFormat="1" ht="15.75" customHeight="1" x14ac:dyDescent="0.3"/>
    <row r="390" s="9" customFormat="1" ht="15.75" customHeight="1" x14ac:dyDescent="0.3"/>
    <row r="391" s="9" customFormat="1" ht="15.75" customHeight="1" x14ac:dyDescent="0.3"/>
    <row r="392" s="9" customFormat="1" ht="15.75" customHeight="1" x14ac:dyDescent="0.3"/>
    <row r="393" s="9" customFormat="1" ht="15.75" customHeight="1" x14ac:dyDescent="0.3"/>
    <row r="394" s="9" customFormat="1" ht="15.75" customHeight="1" x14ac:dyDescent="0.3"/>
    <row r="395" s="9" customFormat="1" ht="15.75" customHeight="1" x14ac:dyDescent="0.3"/>
    <row r="396" s="9" customFormat="1" ht="15.75" customHeight="1" x14ac:dyDescent="0.3"/>
    <row r="397" s="9" customFormat="1" ht="15.75" customHeight="1" x14ac:dyDescent="0.3"/>
    <row r="398" s="9" customFormat="1" ht="15.75" customHeight="1" x14ac:dyDescent="0.3"/>
    <row r="399" s="9" customFormat="1" ht="15.75" customHeight="1" x14ac:dyDescent="0.3"/>
    <row r="400" s="9" customFormat="1" ht="15.75" customHeight="1" x14ac:dyDescent="0.3"/>
    <row r="401" s="9" customFormat="1" ht="15.75" customHeight="1" x14ac:dyDescent="0.3"/>
    <row r="402" s="9" customFormat="1" ht="15.75" customHeight="1" x14ac:dyDescent="0.3"/>
    <row r="403" s="9" customFormat="1" ht="15.75" customHeight="1" x14ac:dyDescent="0.3"/>
    <row r="404" s="9" customFormat="1" ht="15.75" customHeight="1" x14ac:dyDescent="0.3"/>
    <row r="405" s="9" customFormat="1" ht="15.75" customHeight="1" x14ac:dyDescent="0.3"/>
    <row r="406" s="9" customFormat="1" ht="15.75" customHeight="1" x14ac:dyDescent="0.3"/>
    <row r="407" s="9" customFormat="1" ht="15.75" customHeight="1" x14ac:dyDescent="0.3"/>
    <row r="408" s="9" customFormat="1" ht="15.75" customHeight="1" x14ac:dyDescent="0.3"/>
    <row r="409" s="9" customFormat="1" ht="15.75" customHeight="1" x14ac:dyDescent="0.3"/>
    <row r="410" s="9" customFormat="1" ht="15.75" customHeight="1" x14ac:dyDescent="0.3"/>
    <row r="411" s="9" customFormat="1" ht="15.75" customHeight="1" x14ac:dyDescent="0.3"/>
    <row r="412" s="9" customFormat="1" ht="15.75" customHeight="1" x14ac:dyDescent="0.3"/>
    <row r="413" s="9" customFormat="1" ht="15.75" customHeight="1" x14ac:dyDescent="0.3"/>
    <row r="414" s="9" customFormat="1" ht="15.75" customHeight="1" x14ac:dyDescent="0.3"/>
    <row r="415" s="9" customFormat="1" ht="15.75" customHeight="1" x14ac:dyDescent="0.3"/>
    <row r="416" s="9" customFormat="1" ht="15.75" customHeight="1" x14ac:dyDescent="0.3"/>
    <row r="417" s="9" customFormat="1" ht="15.75" customHeight="1" x14ac:dyDescent="0.3"/>
    <row r="418" s="9" customFormat="1" ht="15.75" customHeight="1" x14ac:dyDescent="0.3"/>
    <row r="419" s="9" customFormat="1" ht="15.75" customHeight="1" x14ac:dyDescent="0.3"/>
    <row r="420" s="9" customFormat="1" ht="15.75" customHeight="1" x14ac:dyDescent="0.3"/>
    <row r="421" s="9" customFormat="1" ht="15.75" customHeight="1" x14ac:dyDescent="0.3"/>
    <row r="422" s="9" customFormat="1" ht="15.75" customHeight="1" x14ac:dyDescent="0.3"/>
    <row r="423" s="9" customFormat="1" ht="15.75" customHeight="1" x14ac:dyDescent="0.3"/>
    <row r="424" s="9" customFormat="1" ht="15.75" customHeight="1" x14ac:dyDescent="0.3"/>
    <row r="425" s="9" customFormat="1" ht="15.75" customHeight="1" x14ac:dyDescent="0.3"/>
    <row r="426" s="9" customFormat="1" ht="15.75" customHeight="1" x14ac:dyDescent="0.3"/>
    <row r="427" s="9" customFormat="1" ht="15.75" customHeight="1" x14ac:dyDescent="0.3"/>
    <row r="428" s="9" customFormat="1" ht="15.75" customHeight="1" x14ac:dyDescent="0.3"/>
    <row r="429" s="9" customFormat="1" ht="15.75" customHeight="1" x14ac:dyDescent="0.3"/>
    <row r="430" s="9" customFormat="1" ht="15.75" customHeight="1" x14ac:dyDescent="0.3"/>
    <row r="431" s="9" customFormat="1" ht="15.75" customHeight="1" x14ac:dyDescent="0.3"/>
    <row r="432" s="9" customFormat="1" ht="15.75" customHeight="1" x14ac:dyDescent="0.3"/>
    <row r="433" s="9" customFormat="1" ht="15.75" customHeight="1" x14ac:dyDescent="0.3"/>
    <row r="434" s="9" customFormat="1" ht="15.75" customHeight="1" x14ac:dyDescent="0.3"/>
    <row r="435" s="9" customFormat="1" ht="15.75" customHeight="1" x14ac:dyDescent="0.3"/>
    <row r="436" s="9" customFormat="1" ht="15.75" customHeight="1" x14ac:dyDescent="0.3"/>
    <row r="437" s="9" customFormat="1" ht="15.75" customHeight="1" x14ac:dyDescent="0.3"/>
    <row r="438" s="9" customFormat="1" ht="15.75" customHeight="1" x14ac:dyDescent="0.3"/>
    <row r="439" s="9" customFormat="1" ht="15.75" customHeight="1" x14ac:dyDescent="0.3"/>
    <row r="440" s="9" customFormat="1" ht="15.75" customHeight="1" x14ac:dyDescent="0.3"/>
    <row r="441" s="9" customFormat="1" ht="15.75" customHeight="1" x14ac:dyDescent="0.3"/>
    <row r="442" s="9" customFormat="1" ht="15.75" customHeight="1" x14ac:dyDescent="0.3"/>
    <row r="443" s="9" customFormat="1" ht="15.75" customHeight="1" x14ac:dyDescent="0.3"/>
    <row r="444" s="9" customFormat="1" ht="15.75" customHeight="1" x14ac:dyDescent="0.3"/>
    <row r="445" s="9" customFormat="1" ht="15.75" customHeight="1" x14ac:dyDescent="0.3"/>
    <row r="446" s="9" customFormat="1" ht="15.75" customHeight="1" x14ac:dyDescent="0.3"/>
    <row r="447" s="9" customFormat="1" ht="15.75" customHeight="1" x14ac:dyDescent="0.3"/>
    <row r="448" s="9" customFormat="1" ht="15.75" customHeight="1" x14ac:dyDescent="0.3"/>
    <row r="449" s="9" customFormat="1" ht="15.75" customHeight="1" x14ac:dyDescent="0.3"/>
    <row r="450" s="9" customFormat="1" ht="15.75" customHeight="1" x14ac:dyDescent="0.3"/>
    <row r="451" s="9" customFormat="1" ht="15.75" customHeight="1" x14ac:dyDescent="0.3"/>
    <row r="452" s="9" customFormat="1" ht="15.75" customHeight="1" x14ac:dyDescent="0.3"/>
    <row r="453" s="9" customFormat="1" ht="15.75" customHeight="1" x14ac:dyDescent="0.3"/>
    <row r="454" s="9" customFormat="1" ht="15.75" customHeight="1" x14ac:dyDescent="0.3"/>
    <row r="455" s="9" customFormat="1" ht="15.75" customHeight="1" x14ac:dyDescent="0.3"/>
    <row r="456" s="9" customFormat="1" ht="15.75" customHeight="1" x14ac:dyDescent="0.3"/>
    <row r="457" s="9" customFormat="1" ht="15.75" customHeight="1" x14ac:dyDescent="0.3"/>
    <row r="458" s="9" customFormat="1" ht="15.75" customHeight="1" x14ac:dyDescent="0.3"/>
    <row r="459" s="9" customFormat="1" ht="15.75" customHeight="1" x14ac:dyDescent="0.3"/>
    <row r="460" s="9" customFormat="1" ht="15.75" customHeight="1" x14ac:dyDescent="0.3"/>
    <row r="461" s="9" customFormat="1" ht="15.75" customHeight="1" x14ac:dyDescent="0.3"/>
    <row r="462" s="9" customFormat="1" ht="15.75" customHeight="1" x14ac:dyDescent="0.3"/>
    <row r="463" s="9" customFormat="1" ht="15.75" customHeight="1" x14ac:dyDescent="0.3"/>
    <row r="464" s="9" customFormat="1" ht="15.75" customHeight="1" x14ac:dyDescent="0.3"/>
    <row r="465" s="9" customFormat="1" ht="15.75" customHeight="1" x14ac:dyDescent="0.3"/>
    <row r="466" s="9" customFormat="1" ht="15.75" customHeight="1" x14ac:dyDescent="0.3"/>
    <row r="467" s="9" customFormat="1" ht="15.75" customHeight="1" x14ac:dyDescent="0.3"/>
    <row r="468" s="9" customFormat="1" ht="15.75" customHeight="1" x14ac:dyDescent="0.3"/>
    <row r="469" s="9" customFormat="1" ht="15.75" customHeight="1" x14ac:dyDescent="0.3"/>
    <row r="470" s="9" customFormat="1" ht="15.75" customHeight="1" x14ac:dyDescent="0.3"/>
    <row r="471" s="9" customFormat="1" ht="15.75" customHeight="1" x14ac:dyDescent="0.3"/>
    <row r="472" s="9" customFormat="1" ht="15.75" customHeight="1" x14ac:dyDescent="0.3"/>
    <row r="473" s="9" customFormat="1" ht="15.75" customHeight="1" x14ac:dyDescent="0.3"/>
    <row r="474" s="9" customFormat="1" ht="15.75" customHeight="1" x14ac:dyDescent="0.3"/>
    <row r="475" s="9" customFormat="1" ht="15.75" customHeight="1" x14ac:dyDescent="0.3"/>
    <row r="476" s="9" customFormat="1" ht="15.75" customHeight="1" x14ac:dyDescent="0.3"/>
    <row r="477" s="9" customFormat="1" ht="15.75" customHeight="1" x14ac:dyDescent="0.3"/>
    <row r="478" s="9" customFormat="1" ht="15.75" customHeight="1" x14ac:dyDescent="0.3"/>
    <row r="479" s="9" customFormat="1" ht="15.75" customHeight="1" x14ac:dyDescent="0.3"/>
    <row r="480" s="9" customFormat="1" ht="15.75" customHeight="1" x14ac:dyDescent="0.3"/>
    <row r="481" s="9" customFormat="1" ht="15.75" customHeight="1" x14ac:dyDescent="0.3"/>
    <row r="482" s="9" customFormat="1" ht="15.75" customHeight="1" x14ac:dyDescent="0.3"/>
    <row r="483" s="9" customFormat="1" ht="15.75" customHeight="1" x14ac:dyDescent="0.3"/>
    <row r="484" s="9" customFormat="1" ht="15.75" customHeight="1" x14ac:dyDescent="0.3"/>
    <row r="485" s="9" customFormat="1" ht="15.75" customHeight="1" x14ac:dyDescent="0.3"/>
    <row r="486" s="9" customFormat="1" ht="15.75" customHeight="1" x14ac:dyDescent="0.3"/>
    <row r="487" s="9" customFormat="1" ht="15.75" customHeight="1" x14ac:dyDescent="0.3"/>
    <row r="488" s="9" customFormat="1" ht="15.75" customHeight="1" x14ac:dyDescent="0.3"/>
    <row r="489" s="9" customFormat="1" ht="15.75" customHeight="1" x14ac:dyDescent="0.3"/>
    <row r="490" s="9" customFormat="1" ht="15.75" customHeight="1" x14ac:dyDescent="0.3"/>
    <row r="491" s="9" customFormat="1" ht="15.75" customHeight="1" x14ac:dyDescent="0.3"/>
    <row r="492" s="9" customFormat="1" ht="15.75" customHeight="1" x14ac:dyDescent="0.3"/>
    <row r="493" s="9" customFormat="1" ht="15.75" customHeight="1" x14ac:dyDescent="0.3"/>
    <row r="494" s="9" customFormat="1" ht="15.75" customHeight="1" x14ac:dyDescent="0.3"/>
    <row r="495" s="9" customFormat="1" ht="15.75" customHeight="1" x14ac:dyDescent="0.3"/>
    <row r="496" s="9" customFormat="1" ht="15.75" customHeight="1" x14ac:dyDescent="0.3"/>
    <row r="497" s="9" customFormat="1" ht="15.75" customHeight="1" x14ac:dyDescent="0.3"/>
    <row r="498" s="9" customFormat="1" ht="15.75" customHeight="1" x14ac:dyDescent="0.3"/>
    <row r="499" s="9" customFormat="1" ht="15.75" customHeight="1" x14ac:dyDescent="0.3"/>
    <row r="500" s="9" customFormat="1" ht="15.75" customHeight="1" x14ac:dyDescent="0.3"/>
    <row r="501" s="9" customFormat="1" ht="15.75" customHeight="1" x14ac:dyDescent="0.3"/>
    <row r="502" s="9" customFormat="1" ht="15.75" customHeight="1" x14ac:dyDescent="0.3"/>
    <row r="503" s="9" customFormat="1" ht="15.75" customHeight="1" x14ac:dyDescent="0.3"/>
    <row r="504" s="9" customFormat="1" ht="15.75" customHeight="1" x14ac:dyDescent="0.3"/>
    <row r="505" s="9" customFormat="1" ht="15.75" customHeight="1" x14ac:dyDescent="0.3"/>
    <row r="506" s="9" customFormat="1" ht="15.75" customHeight="1" x14ac:dyDescent="0.3"/>
    <row r="507" s="9" customFormat="1" ht="15.75" customHeight="1" x14ac:dyDescent="0.3"/>
    <row r="508" s="9" customFormat="1" ht="15.75" customHeight="1" x14ac:dyDescent="0.3"/>
    <row r="509" s="9" customFormat="1" ht="15.75" customHeight="1" x14ac:dyDescent="0.3"/>
    <row r="510" s="9" customFormat="1" ht="15.75" customHeight="1" x14ac:dyDescent="0.3"/>
    <row r="511" s="9" customFormat="1" ht="15.75" customHeight="1" x14ac:dyDescent="0.3"/>
    <row r="512" s="9" customFormat="1" ht="15.75" customHeight="1" x14ac:dyDescent="0.3"/>
    <row r="513" s="9" customFormat="1" ht="15.75" customHeight="1" x14ac:dyDescent="0.3"/>
    <row r="514" s="9" customFormat="1" ht="15.75" customHeight="1" x14ac:dyDescent="0.3"/>
    <row r="515" s="9" customFormat="1" ht="15.75" customHeight="1" x14ac:dyDescent="0.3"/>
    <row r="516" s="9" customFormat="1" ht="15.75" customHeight="1" x14ac:dyDescent="0.3"/>
    <row r="517" s="9" customFormat="1" ht="15.75" customHeight="1" x14ac:dyDescent="0.3"/>
    <row r="518" s="9" customFormat="1" ht="15.75" customHeight="1" x14ac:dyDescent="0.3"/>
    <row r="519" s="9" customFormat="1" ht="15.75" customHeight="1" x14ac:dyDescent="0.3"/>
    <row r="520" s="9" customFormat="1" ht="15.75" customHeight="1" x14ac:dyDescent="0.3"/>
    <row r="521" s="9" customFormat="1" ht="15.75" customHeight="1" x14ac:dyDescent="0.3"/>
    <row r="522" s="9" customFormat="1" ht="15.75" customHeight="1" x14ac:dyDescent="0.3"/>
    <row r="523" s="9" customFormat="1" ht="15.75" customHeight="1" x14ac:dyDescent="0.3"/>
    <row r="524" s="9" customFormat="1" ht="15.75" customHeight="1" x14ac:dyDescent="0.3"/>
    <row r="525" s="9" customFormat="1" ht="15.75" customHeight="1" x14ac:dyDescent="0.3"/>
    <row r="526" s="9" customFormat="1" ht="15.75" customHeight="1" x14ac:dyDescent="0.3"/>
    <row r="527" s="9" customFormat="1" ht="15.75" customHeight="1" x14ac:dyDescent="0.3"/>
    <row r="528" s="9" customFormat="1" ht="15.75" customHeight="1" x14ac:dyDescent="0.3"/>
    <row r="529" s="9" customFormat="1" ht="15.75" customHeight="1" x14ac:dyDescent="0.3"/>
    <row r="530" s="9" customFormat="1" ht="15.75" customHeight="1" x14ac:dyDescent="0.3"/>
    <row r="531" s="9" customFormat="1" ht="15.75" customHeight="1" x14ac:dyDescent="0.3"/>
    <row r="532" s="9" customFormat="1" ht="15.75" customHeight="1" x14ac:dyDescent="0.3"/>
    <row r="533" s="9" customFormat="1" ht="15.75" customHeight="1" x14ac:dyDescent="0.3"/>
    <row r="534" s="9" customFormat="1" ht="15.75" customHeight="1" x14ac:dyDescent="0.3"/>
    <row r="535" s="9" customFormat="1" ht="15.75" customHeight="1" x14ac:dyDescent="0.3"/>
    <row r="536" s="9" customFormat="1" ht="15.75" customHeight="1" x14ac:dyDescent="0.3"/>
    <row r="537" s="9" customFormat="1" ht="15.75" customHeight="1" x14ac:dyDescent="0.3"/>
    <row r="538" s="9" customFormat="1" ht="15.75" customHeight="1" x14ac:dyDescent="0.3"/>
    <row r="539" s="9" customFormat="1" ht="15.75" customHeight="1" x14ac:dyDescent="0.3"/>
    <row r="540" s="9" customFormat="1" ht="15.75" customHeight="1" x14ac:dyDescent="0.3"/>
    <row r="541" s="9" customFormat="1" ht="15.75" customHeight="1" x14ac:dyDescent="0.3"/>
    <row r="542" s="9" customFormat="1" ht="15.75" customHeight="1" x14ac:dyDescent="0.3"/>
    <row r="543" s="9" customFormat="1" ht="15.75" customHeight="1" x14ac:dyDescent="0.3"/>
    <row r="544" s="9" customFormat="1" ht="15.75" customHeight="1" x14ac:dyDescent="0.3"/>
    <row r="545" s="9" customFormat="1" ht="15.75" customHeight="1" x14ac:dyDescent="0.3"/>
    <row r="546" s="9" customFormat="1" ht="15.75" customHeight="1" x14ac:dyDescent="0.3"/>
    <row r="547" s="9" customFormat="1" ht="15.75" customHeight="1" x14ac:dyDescent="0.3"/>
    <row r="548" s="9" customFormat="1" ht="15.75" customHeight="1" x14ac:dyDescent="0.3"/>
    <row r="549" s="9" customFormat="1" ht="15.75" customHeight="1" x14ac:dyDescent="0.3"/>
    <row r="550" s="9" customFormat="1" ht="15.75" customHeight="1" x14ac:dyDescent="0.3"/>
    <row r="551" s="9" customFormat="1" ht="15.75" customHeight="1" x14ac:dyDescent="0.3"/>
    <row r="552" s="9" customFormat="1" ht="15.75" customHeight="1" x14ac:dyDescent="0.3"/>
    <row r="553" s="9" customFormat="1" ht="15.75" customHeight="1" x14ac:dyDescent="0.3"/>
    <row r="554" s="9" customFormat="1" ht="15.75" customHeight="1" x14ac:dyDescent="0.3"/>
    <row r="555" s="9" customFormat="1" ht="15.75" customHeight="1" x14ac:dyDescent="0.3"/>
    <row r="556" s="9" customFormat="1" ht="15.75" customHeight="1" x14ac:dyDescent="0.3"/>
    <row r="557" s="9" customFormat="1" ht="15.75" customHeight="1" x14ac:dyDescent="0.3"/>
    <row r="558" s="9" customFormat="1" ht="15.75" customHeight="1" x14ac:dyDescent="0.3"/>
    <row r="559" s="9" customFormat="1" ht="15.75" customHeight="1" x14ac:dyDescent="0.3"/>
    <row r="560" s="9" customFormat="1" ht="15.75" customHeight="1" x14ac:dyDescent="0.3"/>
    <row r="561" s="9" customFormat="1" ht="15.75" customHeight="1" x14ac:dyDescent="0.3"/>
    <row r="562" s="9" customFormat="1" ht="15.75" customHeight="1" x14ac:dyDescent="0.3"/>
    <row r="563" s="9" customFormat="1" ht="15.75" customHeight="1" x14ac:dyDescent="0.3"/>
    <row r="564" s="9" customFormat="1" ht="15.75" customHeight="1" x14ac:dyDescent="0.3"/>
    <row r="565" s="9" customFormat="1" ht="15.75" customHeight="1" x14ac:dyDescent="0.3"/>
    <row r="566" s="9" customFormat="1" ht="15.75" customHeight="1" x14ac:dyDescent="0.3"/>
    <row r="567" s="9" customFormat="1" ht="15.75" customHeight="1" x14ac:dyDescent="0.3"/>
    <row r="568" s="9" customFormat="1" ht="15.75" customHeight="1" x14ac:dyDescent="0.3"/>
    <row r="569" s="9" customFormat="1" ht="15.75" customHeight="1" x14ac:dyDescent="0.3"/>
    <row r="570" s="9" customFormat="1" ht="15.75" customHeight="1" x14ac:dyDescent="0.3"/>
    <row r="571" s="9" customFormat="1" ht="15.75" customHeight="1" x14ac:dyDescent="0.3"/>
    <row r="572" s="9" customFormat="1" ht="15.75" customHeight="1" x14ac:dyDescent="0.3"/>
    <row r="573" s="9" customFormat="1" ht="15.75" customHeight="1" x14ac:dyDescent="0.3"/>
    <row r="574" s="9" customFormat="1" ht="15.75" customHeight="1" x14ac:dyDescent="0.3"/>
    <row r="575" s="9" customFormat="1" ht="15.75" customHeight="1" x14ac:dyDescent="0.3"/>
    <row r="576" s="9" customFormat="1" ht="15.75" customHeight="1" x14ac:dyDescent="0.3"/>
    <row r="577" s="9" customFormat="1" ht="15.75" customHeight="1" x14ac:dyDescent="0.3"/>
    <row r="578" s="9" customFormat="1" ht="15.75" customHeight="1" x14ac:dyDescent="0.3"/>
    <row r="579" s="9" customFormat="1" ht="15.75" customHeight="1" x14ac:dyDescent="0.3"/>
    <row r="580" s="9" customFormat="1" ht="15.75" customHeight="1" x14ac:dyDescent="0.3"/>
    <row r="581" s="9" customFormat="1" ht="15.75" customHeight="1" x14ac:dyDescent="0.3"/>
    <row r="582" s="9" customFormat="1" ht="15.75" customHeight="1" x14ac:dyDescent="0.3"/>
    <row r="583" s="9" customFormat="1" ht="15.75" customHeight="1" x14ac:dyDescent="0.3"/>
    <row r="584" s="9" customFormat="1" ht="15.75" customHeight="1" x14ac:dyDescent="0.3"/>
    <row r="585" s="9" customFormat="1" ht="15.75" customHeight="1" x14ac:dyDescent="0.3"/>
    <row r="586" s="9" customFormat="1" ht="15.75" customHeight="1" x14ac:dyDescent="0.3"/>
    <row r="587" s="9" customFormat="1" ht="15.75" customHeight="1" x14ac:dyDescent="0.3"/>
    <row r="588" s="9" customFormat="1" ht="15.75" customHeight="1" x14ac:dyDescent="0.3"/>
    <row r="589" s="9" customFormat="1" ht="15.75" customHeight="1" x14ac:dyDescent="0.3"/>
    <row r="590" s="9" customFormat="1" ht="15.75" customHeight="1" x14ac:dyDescent="0.3"/>
    <row r="591" s="9" customFormat="1" ht="15.75" customHeight="1" x14ac:dyDescent="0.3"/>
    <row r="592" s="9" customFormat="1" ht="15.75" customHeight="1" x14ac:dyDescent="0.3"/>
    <row r="593" s="9" customFormat="1" ht="15.75" customHeight="1" x14ac:dyDescent="0.3"/>
    <row r="594" s="9" customFormat="1" ht="15.75" customHeight="1" x14ac:dyDescent="0.3"/>
    <row r="595" s="9" customFormat="1" ht="15.75" customHeight="1" x14ac:dyDescent="0.3"/>
    <row r="596" s="9" customFormat="1" ht="15.75" customHeight="1" x14ac:dyDescent="0.3"/>
    <row r="597" s="9" customFormat="1" ht="15.75" customHeight="1" x14ac:dyDescent="0.3"/>
    <row r="598" s="9" customFormat="1" ht="15.75" customHeight="1" x14ac:dyDescent="0.3"/>
    <row r="599" s="9" customFormat="1" ht="15.75" customHeight="1" x14ac:dyDescent="0.3"/>
    <row r="600" s="9" customFormat="1" ht="15.75" customHeight="1" x14ac:dyDescent="0.3"/>
    <row r="601" s="9" customFormat="1" ht="15.75" customHeight="1" x14ac:dyDescent="0.3"/>
    <row r="602" s="9" customFormat="1" ht="15.75" customHeight="1" x14ac:dyDescent="0.3"/>
    <row r="603" s="9" customFormat="1" ht="15.75" customHeight="1" x14ac:dyDescent="0.3"/>
    <row r="604" s="9" customFormat="1" ht="15.75" customHeight="1" x14ac:dyDescent="0.3"/>
    <row r="605" s="9" customFormat="1" ht="15.75" customHeight="1" x14ac:dyDescent="0.3"/>
    <row r="606" s="9" customFormat="1" ht="15.75" customHeight="1" x14ac:dyDescent="0.3"/>
    <row r="607" s="9" customFormat="1" ht="15.75" customHeight="1" x14ac:dyDescent="0.3"/>
    <row r="608" s="9" customFormat="1" ht="15.75" customHeight="1" x14ac:dyDescent="0.3"/>
    <row r="609" s="9" customFormat="1" ht="15.75" customHeight="1" x14ac:dyDescent="0.3"/>
    <row r="610" s="9" customFormat="1" ht="15.75" customHeight="1" x14ac:dyDescent="0.3"/>
    <row r="611" s="9" customFormat="1" ht="15.75" customHeight="1" x14ac:dyDescent="0.3"/>
    <row r="612" s="9" customFormat="1" ht="15.75" customHeight="1" x14ac:dyDescent="0.3"/>
    <row r="613" s="9" customFormat="1" ht="15.75" customHeight="1" x14ac:dyDescent="0.3"/>
    <row r="614" s="9" customFormat="1" ht="15.75" customHeight="1" x14ac:dyDescent="0.3"/>
    <row r="615" s="9" customFormat="1" ht="15.75" customHeight="1" x14ac:dyDescent="0.3"/>
    <row r="616" s="9" customFormat="1" ht="15.75" customHeight="1" x14ac:dyDescent="0.3"/>
    <row r="617" s="9" customFormat="1" ht="15.75" customHeight="1" x14ac:dyDescent="0.3"/>
    <row r="618" s="9" customFormat="1" ht="15.75" customHeight="1" x14ac:dyDescent="0.3"/>
    <row r="619" s="9" customFormat="1" ht="15.75" customHeight="1" x14ac:dyDescent="0.3"/>
    <row r="620" s="9" customFormat="1" ht="15.75" customHeight="1" x14ac:dyDescent="0.3"/>
    <row r="621" s="9" customFormat="1" ht="15.75" customHeight="1" x14ac:dyDescent="0.3"/>
    <row r="622" s="9" customFormat="1" ht="15.75" customHeight="1" x14ac:dyDescent="0.3"/>
    <row r="623" s="9" customFormat="1" ht="15.75" customHeight="1" x14ac:dyDescent="0.3"/>
    <row r="624" s="9" customFormat="1" ht="15.75" customHeight="1" x14ac:dyDescent="0.3"/>
    <row r="625" s="9" customFormat="1" ht="15.75" customHeight="1" x14ac:dyDescent="0.3"/>
    <row r="626" s="9" customFormat="1" ht="15.75" customHeight="1" x14ac:dyDescent="0.3"/>
    <row r="627" s="9" customFormat="1" ht="15.75" customHeight="1" x14ac:dyDescent="0.3"/>
    <row r="628" s="9" customFormat="1" ht="15.75" customHeight="1" x14ac:dyDescent="0.3"/>
    <row r="629" s="9" customFormat="1" ht="15.75" customHeight="1" x14ac:dyDescent="0.3"/>
    <row r="630" s="9" customFormat="1" ht="15.75" customHeight="1" x14ac:dyDescent="0.3"/>
    <row r="631" s="9" customFormat="1" ht="15.75" customHeight="1" x14ac:dyDescent="0.3"/>
    <row r="632" s="9" customFormat="1" ht="15.75" customHeight="1" x14ac:dyDescent="0.3"/>
    <row r="633" s="9" customFormat="1" ht="15.75" customHeight="1" x14ac:dyDescent="0.3"/>
    <row r="634" s="9" customFormat="1" ht="15.75" customHeight="1" x14ac:dyDescent="0.3"/>
    <row r="635" s="9" customFormat="1" ht="15.75" customHeight="1" x14ac:dyDescent="0.3"/>
    <row r="636" s="9" customFormat="1" ht="15.75" customHeight="1" x14ac:dyDescent="0.3"/>
    <row r="637" s="9" customFormat="1" ht="15.75" customHeight="1" x14ac:dyDescent="0.3"/>
    <row r="638" s="9" customFormat="1" ht="15.75" customHeight="1" x14ac:dyDescent="0.3"/>
    <row r="639" s="9" customFormat="1" ht="15.75" customHeight="1" x14ac:dyDescent="0.3"/>
    <row r="640" s="9" customFormat="1" ht="15.75" customHeight="1" x14ac:dyDescent="0.3"/>
    <row r="641" s="9" customFormat="1" ht="15.75" customHeight="1" x14ac:dyDescent="0.3"/>
    <row r="642" s="9" customFormat="1" ht="15.75" customHeight="1" x14ac:dyDescent="0.3"/>
    <row r="643" s="9" customFormat="1" ht="15.75" customHeight="1" x14ac:dyDescent="0.3"/>
    <row r="644" s="9" customFormat="1" ht="15.75" customHeight="1" x14ac:dyDescent="0.3"/>
    <row r="645" s="9" customFormat="1" ht="15.75" customHeight="1" x14ac:dyDescent="0.3"/>
    <row r="646" s="9" customFormat="1" ht="15.75" customHeight="1" x14ac:dyDescent="0.3"/>
    <row r="647" s="9" customFormat="1" ht="15.75" customHeight="1" x14ac:dyDescent="0.3"/>
    <row r="648" s="9" customFormat="1" ht="15.75" customHeight="1" x14ac:dyDescent="0.3"/>
    <row r="649" s="9" customFormat="1" ht="15.75" customHeight="1" x14ac:dyDescent="0.3"/>
    <row r="650" s="9" customFormat="1" ht="15.75" customHeight="1" x14ac:dyDescent="0.3"/>
    <row r="651" s="9" customFormat="1" ht="15.75" customHeight="1" x14ac:dyDescent="0.3"/>
    <row r="652" s="9" customFormat="1" ht="15.75" customHeight="1" x14ac:dyDescent="0.3"/>
    <row r="653" s="9" customFormat="1" ht="15.75" customHeight="1" x14ac:dyDescent="0.3"/>
    <row r="654" s="9" customFormat="1" ht="15.75" customHeight="1" x14ac:dyDescent="0.3"/>
    <row r="655" s="9" customFormat="1" ht="15.75" customHeight="1" x14ac:dyDescent="0.3"/>
    <row r="656" s="9" customFormat="1" ht="15.75" customHeight="1" x14ac:dyDescent="0.3"/>
    <row r="657" s="9" customFormat="1" ht="15.75" customHeight="1" x14ac:dyDescent="0.3"/>
    <row r="658" s="9" customFormat="1" ht="15.75" customHeight="1" x14ac:dyDescent="0.3"/>
    <row r="659" s="9" customFormat="1" ht="15.75" customHeight="1" x14ac:dyDescent="0.3"/>
    <row r="660" s="9" customFormat="1" ht="15.75" customHeight="1" x14ac:dyDescent="0.3"/>
    <row r="661" s="9" customFormat="1" ht="15.75" customHeight="1" x14ac:dyDescent="0.3"/>
    <row r="662" s="9" customFormat="1" ht="15.75" customHeight="1" x14ac:dyDescent="0.3"/>
    <row r="663" s="9" customFormat="1" ht="15.75" customHeight="1" x14ac:dyDescent="0.3"/>
    <row r="664" s="9" customFormat="1" ht="15.75" customHeight="1" x14ac:dyDescent="0.3"/>
    <row r="665" s="9" customFormat="1" ht="15.75" customHeight="1" x14ac:dyDescent="0.3"/>
    <row r="666" s="9" customFormat="1" ht="15.75" customHeight="1" x14ac:dyDescent="0.3"/>
    <row r="667" s="9" customFormat="1" ht="15.75" customHeight="1" x14ac:dyDescent="0.3"/>
    <row r="668" s="9" customFormat="1" ht="15.75" customHeight="1" x14ac:dyDescent="0.3"/>
    <row r="669" s="9" customFormat="1" ht="15.75" customHeight="1" x14ac:dyDescent="0.3"/>
    <row r="670" s="9" customFormat="1" ht="15.75" customHeight="1" x14ac:dyDescent="0.3"/>
    <row r="671" s="9" customFormat="1" ht="15.75" customHeight="1" x14ac:dyDescent="0.3"/>
    <row r="672" s="9" customFormat="1" ht="15.75" customHeight="1" x14ac:dyDescent="0.3"/>
    <row r="673" s="9" customFormat="1" ht="15.75" customHeight="1" x14ac:dyDescent="0.3"/>
    <row r="674" s="9" customFormat="1" ht="15.75" customHeight="1" x14ac:dyDescent="0.3"/>
    <row r="675" s="9" customFormat="1" ht="15.75" customHeight="1" x14ac:dyDescent="0.3"/>
    <row r="676" s="9" customFormat="1" ht="15.75" customHeight="1" x14ac:dyDescent="0.3"/>
    <row r="677" s="9" customFormat="1" ht="15.75" customHeight="1" x14ac:dyDescent="0.3"/>
    <row r="678" s="9" customFormat="1" ht="15.75" customHeight="1" x14ac:dyDescent="0.3"/>
    <row r="679" s="9" customFormat="1" ht="15.75" customHeight="1" x14ac:dyDescent="0.3"/>
    <row r="680" s="9" customFormat="1" ht="15.75" customHeight="1" x14ac:dyDescent="0.3"/>
    <row r="681" s="9" customFormat="1" ht="15.75" customHeight="1" x14ac:dyDescent="0.3"/>
    <row r="682" s="9" customFormat="1" ht="15.75" customHeight="1" x14ac:dyDescent="0.3"/>
    <row r="683" s="9" customFormat="1" ht="15.75" customHeight="1" x14ac:dyDescent="0.3"/>
    <row r="684" s="9" customFormat="1" ht="15.75" customHeight="1" x14ac:dyDescent="0.3"/>
    <row r="685" s="9" customFormat="1" ht="15.75" customHeight="1" x14ac:dyDescent="0.3"/>
    <row r="686" s="9" customFormat="1" ht="15.75" customHeight="1" x14ac:dyDescent="0.3"/>
    <row r="687" s="9" customFormat="1" ht="15.75" customHeight="1" x14ac:dyDescent="0.3"/>
    <row r="688" s="9" customFormat="1" ht="15.75" customHeight="1" x14ac:dyDescent="0.3"/>
    <row r="689" s="9" customFormat="1" ht="15.75" customHeight="1" x14ac:dyDescent="0.3"/>
    <row r="690" s="9" customFormat="1" ht="15.75" customHeight="1" x14ac:dyDescent="0.3"/>
    <row r="691" s="9" customFormat="1" ht="15.75" customHeight="1" x14ac:dyDescent="0.3"/>
    <row r="692" s="9" customFormat="1" ht="15.75" customHeight="1" x14ac:dyDescent="0.3"/>
    <row r="693" s="9" customFormat="1" ht="15.75" customHeight="1" x14ac:dyDescent="0.3"/>
    <row r="694" s="9" customFormat="1" ht="15.75" customHeight="1" x14ac:dyDescent="0.3"/>
    <row r="695" s="9" customFormat="1" ht="15.75" customHeight="1" x14ac:dyDescent="0.3"/>
    <row r="696" s="9" customFormat="1" ht="15.75" customHeight="1" x14ac:dyDescent="0.3"/>
    <row r="697" s="9" customFormat="1" ht="15.75" customHeight="1" x14ac:dyDescent="0.3"/>
    <row r="698" s="9" customFormat="1" ht="15.75" customHeight="1" x14ac:dyDescent="0.3"/>
    <row r="699" s="9" customFormat="1" ht="15.75" customHeight="1" x14ac:dyDescent="0.3"/>
    <row r="700" s="9" customFormat="1" ht="15.75" customHeight="1" x14ac:dyDescent="0.3"/>
    <row r="701" s="9" customFormat="1" ht="15.75" customHeight="1" x14ac:dyDescent="0.3"/>
    <row r="702" s="9" customFormat="1" ht="15.75" customHeight="1" x14ac:dyDescent="0.3"/>
    <row r="703" s="9" customFormat="1" ht="15.75" customHeight="1" x14ac:dyDescent="0.3"/>
    <row r="704" s="9" customFormat="1" ht="15.75" customHeight="1" x14ac:dyDescent="0.3"/>
    <row r="705" s="9" customFormat="1" ht="15.75" customHeight="1" x14ac:dyDescent="0.3"/>
    <row r="706" s="9" customFormat="1" ht="15.75" customHeight="1" x14ac:dyDescent="0.3"/>
    <row r="707" s="9" customFormat="1" ht="15.75" customHeight="1" x14ac:dyDescent="0.3"/>
    <row r="708" s="9" customFormat="1" ht="15.75" customHeight="1" x14ac:dyDescent="0.3"/>
    <row r="709" s="9" customFormat="1" ht="15.75" customHeight="1" x14ac:dyDescent="0.3"/>
    <row r="710" s="9" customFormat="1" ht="15.75" customHeight="1" x14ac:dyDescent="0.3"/>
    <row r="711" s="9" customFormat="1" ht="15.75" customHeight="1" x14ac:dyDescent="0.3"/>
    <row r="712" s="9" customFormat="1" ht="15.75" customHeight="1" x14ac:dyDescent="0.3"/>
    <row r="713" s="9" customFormat="1" ht="15.75" customHeight="1" x14ac:dyDescent="0.3"/>
    <row r="714" s="9" customFormat="1" ht="15.75" customHeight="1" x14ac:dyDescent="0.3"/>
    <row r="715" s="9" customFormat="1" ht="15.75" customHeight="1" x14ac:dyDescent="0.3"/>
    <row r="716" s="9" customFormat="1" ht="15.75" customHeight="1" x14ac:dyDescent="0.3"/>
    <row r="717" s="9" customFormat="1" ht="15.75" customHeight="1" x14ac:dyDescent="0.3"/>
    <row r="718" s="9" customFormat="1" ht="15.75" customHeight="1" x14ac:dyDescent="0.3"/>
    <row r="719" s="9" customFormat="1" ht="15.75" customHeight="1" x14ac:dyDescent="0.3"/>
    <row r="720" s="9" customFormat="1" ht="15.75" customHeight="1" x14ac:dyDescent="0.3"/>
    <row r="721" s="9" customFormat="1" ht="15.75" customHeight="1" x14ac:dyDescent="0.3"/>
    <row r="722" s="9" customFormat="1" ht="15.75" customHeight="1" x14ac:dyDescent="0.3"/>
    <row r="723" s="9" customFormat="1" ht="15.75" customHeight="1" x14ac:dyDescent="0.3"/>
    <row r="724" s="9" customFormat="1" ht="15.75" customHeight="1" x14ac:dyDescent="0.3"/>
    <row r="725" s="9" customFormat="1" ht="15.75" customHeight="1" x14ac:dyDescent="0.3"/>
    <row r="726" s="9" customFormat="1" ht="15.75" customHeight="1" x14ac:dyDescent="0.3"/>
    <row r="727" s="9" customFormat="1" ht="15.75" customHeight="1" x14ac:dyDescent="0.3"/>
    <row r="728" s="9" customFormat="1" ht="15.75" customHeight="1" x14ac:dyDescent="0.3"/>
    <row r="729" s="9" customFormat="1" ht="15.75" customHeight="1" x14ac:dyDescent="0.3"/>
    <row r="730" s="9" customFormat="1" ht="15.75" customHeight="1" x14ac:dyDescent="0.3"/>
    <row r="731" s="9" customFormat="1" ht="15.75" customHeight="1" x14ac:dyDescent="0.3"/>
    <row r="732" s="9" customFormat="1" ht="15.75" customHeight="1" x14ac:dyDescent="0.3"/>
    <row r="733" s="9" customFormat="1" ht="15.75" customHeight="1" x14ac:dyDescent="0.3"/>
    <row r="734" s="9" customFormat="1" ht="15.75" customHeight="1" x14ac:dyDescent="0.3"/>
    <row r="735" s="9" customFormat="1" ht="15.75" customHeight="1" x14ac:dyDescent="0.3"/>
    <row r="736" s="9" customFormat="1" ht="15.75" customHeight="1" x14ac:dyDescent="0.3"/>
    <row r="737" s="9" customFormat="1" ht="15.75" customHeight="1" x14ac:dyDescent="0.3"/>
    <row r="738" s="9" customFormat="1" ht="15.75" customHeight="1" x14ac:dyDescent="0.3"/>
    <row r="739" s="9" customFormat="1" ht="15.75" customHeight="1" x14ac:dyDescent="0.3"/>
    <row r="740" s="9" customFormat="1" ht="15.75" customHeight="1" x14ac:dyDescent="0.3"/>
    <row r="741" s="9" customFormat="1" ht="15.75" customHeight="1" x14ac:dyDescent="0.3"/>
    <row r="742" s="9" customFormat="1" ht="15.75" customHeight="1" x14ac:dyDescent="0.3"/>
    <row r="743" s="9" customFormat="1" ht="15.75" customHeight="1" x14ac:dyDescent="0.3"/>
    <row r="744" s="9" customFormat="1" ht="15.75" customHeight="1" x14ac:dyDescent="0.3"/>
    <row r="745" s="9" customFormat="1" ht="15.75" customHeight="1" x14ac:dyDescent="0.3"/>
    <row r="746" s="9" customFormat="1" ht="15.75" customHeight="1" x14ac:dyDescent="0.3"/>
    <row r="747" s="9" customFormat="1" ht="15.75" customHeight="1" x14ac:dyDescent="0.3"/>
    <row r="748" s="9" customFormat="1" ht="15.75" customHeight="1" x14ac:dyDescent="0.3"/>
    <row r="749" s="9" customFormat="1" ht="15.75" customHeight="1" x14ac:dyDescent="0.3"/>
    <row r="750" s="9" customFormat="1" ht="15.75" customHeight="1" x14ac:dyDescent="0.3"/>
    <row r="751" s="9" customFormat="1" ht="15.75" customHeight="1" x14ac:dyDescent="0.3"/>
    <row r="752" s="9" customFormat="1" ht="15.75" customHeight="1" x14ac:dyDescent="0.3"/>
    <row r="753" s="9" customFormat="1" ht="15.75" customHeight="1" x14ac:dyDescent="0.3"/>
    <row r="754" s="9" customFormat="1" ht="15.75" customHeight="1" x14ac:dyDescent="0.3"/>
    <row r="755" s="9" customFormat="1" ht="15.75" customHeight="1" x14ac:dyDescent="0.3"/>
    <row r="756" s="9" customFormat="1" ht="15.75" customHeight="1" x14ac:dyDescent="0.3"/>
    <row r="757" s="9" customFormat="1" ht="15.75" customHeight="1" x14ac:dyDescent="0.3"/>
    <row r="758" s="9" customFormat="1" ht="15.75" customHeight="1" x14ac:dyDescent="0.3"/>
    <row r="759" s="9" customFormat="1" ht="15.75" customHeight="1" x14ac:dyDescent="0.3"/>
    <row r="760" s="9" customFormat="1" ht="15.75" customHeight="1" x14ac:dyDescent="0.3"/>
    <row r="761" s="9" customFormat="1" ht="15.75" customHeight="1" x14ac:dyDescent="0.3"/>
    <row r="762" s="9" customFormat="1" ht="15.75" customHeight="1" x14ac:dyDescent="0.3"/>
    <row r="763" s="9" customFormat="1" ht="15.75" customHeight="1" x14ac:dyDescent="0.3"/>
    <row r="764" s="9" customFormat="1" ht="15.75" customHeight="1" x14ac:dyDescent="0.3"/>
    <row r="765" s="9" customFormat="1" ht="15.75" customHeight="1" x14ac:dyDescent="0.3"/>
    <row r="766" s="9" customFormat="1" ht="15.75" customHeight="1" x14ac:dyDescent="0.3"/>
    <row r="767" s="9" customFormat="1" ht="15.75" customHeight="1" x14ac:dyDescent="0.3"/>
    <row r="768" s="9" customFormat="1" ht="15.75" customHeight="1" x14ac:dyDescent="0.3"/>
    <row r="769" s="9" customFormat="1" ht="15.75" customHeight="1" x14ac:dyDescent="0.3"/>
    <row r="770" s="9" customFormat="1" ht="15.75" customHeight="1" x14ac:dyDescent="0.3"/>
    <row r="771" s="9" customFormat="1" ht="15.75" customHeight="1" x14ac:dyDescent="0.3"/>
    <row r="772" s="9" customFormat="1" ht="15.75" customHeight="1" x14ac:dyDescent="0.3"/>
    <row r="773" s="9" customFormat="1" ht="15.75" customHeight="1" x14ac:dyDescent="0.3"/>
    <row r="774" s="9" customFormat="1" ht="15.75" customHeight="1" x14ac:dyDescent="0.3"/>
    <row r="775" s="9" customFormat="1" ht="15.75" customHeight="1" x14ac:dyDescent="0.3"/>
    <row r="776" s="9" customFormat="1" ht="15.75" customHeight="1" x14ac:dyDescent="0.3"/>
    <row r="777" s="9" customFormat="1" ht="15.75" customHeight="1" x14ac:dyDescent="0.3"/>
    <row r="778" s="9" customFormat="1" ht="15.75" customHeight="1" x14ac:dyDescent="0.3"/>
    <row r="779" s="9" customFormat="1" ht="15.75" customHeight="1" x14ac:dyDescent="0.3"/>
    <row r="780" s="9" customFormat="1" ht="15.75" customHeight="1" x14ac:dyDescent="0.3"/>
    <row r="781" s="9" customFormat="1" ht="15.75" customHeight="1" x14ac:dyDescent="0.3"/>
    <row r="782" s="9" customFormat="1" ht="15.75" customHeight="1" x14ac:dyDescent="0.3"/>
    <row r="783" s="9" customFormat="1" ht="15.75" customHeight="1" x14ac:dyDescent="0.3"/>
    <row r="784" s="9" customFormat="1" ht="15.75" customHeight="1" x14ac:dyDescent="0.3"/>
    <row r="785" s="9" customFormat="1" ht="15.75" customHeight="1" x14ac:dyDescent="0.3"/>
    <row r="786" s="9" customFormat="1" ht="15.75" customHeight="1" x14ac:dyDescent="0.3"/>
    <row r="787" s="9" customFormat="1" ht="15.75" customHeight="1" x14ac:dyDescent="0.3"/>
    <row r="788" s="9" customFormat="1" ht="15.75" customHeight="1" x14ac:dyDescent="0.3"/>
    <row r="789" s="9" customFormat="1" ht="15.75" customHeight="1" x14ac:dyDescent="0.3"/>
    <row r="790" s="9" customFormat="1" ht="15.75" customHeight="1" x14ac:dyDescent="0.3"/>
    <row r="791" s="9" customFormat="1" ht="15.75" customHeight="1" x14ac:dyDescent="0.3"/>
    <row r="792" s="9" customFormat="1" ht="15.75" customHeight="1" x14ac:dyDescent="0.3"/>
    <row r="793" s="9" customFormat="1" ht="15.75" customHeight="1" x14ac:dyDescent="0.3"/>
    <row r="794" s="9" customFormat="1" ht="15.75" customHeight="1" x14ac:dyDescent="0.3"/>
    <row r="795" s="9" customFormat="1" ht="15.75" customHeight="1" x14ac:dyDescent="0.3"/>
    <row r="796" s="9" customFormat="1" ht="15.75" customHeight="1" x14ac:dyDescent="0.3"/>
    <row r="797" s="9" customFormat="1" ht="15.75" customHeight="1" x14ac:dyDescent="0.3"/>
    <row r="798" s="9" customFormat="1" ht="15.75" customHeight="1" x14ac:dyDescent="0.3"/>
    <row r="799" s="9" customFormat="1" ht="15.75" customHeight="1" x14ac:dyDescent="0.3"/>
    <row r="800" s="9" customFormat="1" ht="15.75" customHeight="1" x14ac:dyDescent="0.3"/>
    <row r="801" s="9" customFormat="1" ht="15.75" customHeight="1" x14ac:dyDescent="0.3"/>
    <row r="802" s="9" customFormat="1" ht="15.75" customHeight="1" x14ac:dyDescent="0.3"/>
    <row r="803" s="9" customFormat="1" ht="15.75" customHeight="1" x14ac:dyDescent="0.3"/>
    <row r="804" s="9" customFormat="1" ht="15.75" customHeight="1" x14ac:dyDescent="0.3"/>
    <row r="805" s="9" customFormat="1" ht="15.75" customHeight="1" x14ac:dyDescent="0.3"/>
    <row r="806" s="9" customFormat="1" ht="15.75" customHeight="1" x14ac:dyDescent="0.3"/>
    <row r="807" s="9" customFormat="1" ht="15.75" customHeight="1" x14ac:dyDescent="0.3"/>
    <row r="808" s="9" customFormat="1" ht="15.75" customHeight="1" x14ac:dyDescent="0.3"/>
    <row r="809" s="9" customFormat="1" ht="15.75" customHeight="1" x14ac:dyDescent="0.3"/>
    <row r="810" s="9" customFormat="1" ht="15.75" customHeight="1" x14ac:dyDescent="0.3"/>
    <row r="811" s="9" customFormat="1" ht="15.75" customHeight="1" x14ac:dyDescent="0.3"/>
    <row r="812" s="9" customFormat="1" ht="15.75" customHeight="1" x14ac:dyDescent="0.3"/>
    <row r="813" s="9" customFormat="1" ht="15.75" customHeight="1" x14ac:dyDescent="0.3"/>
    <row r="814" s="9" customFormat="1" ht="15.75" customHeight="1" x14ac:dyDescent="0.3"/>
    <row r="815" s="9" customFormat="1" ht="15.75" customHeight="1" x14ac:dyDescent="0.3"/>
    <row r="816" s="9" customFormat="1" ht="15.75" customHeight="1" x14ac:dyDescent="0.3"/>
    <row r="817" s="9" customFormat="1" ht="15.75" customHeight="1" x14ac:dyDescent="0.3"/>
    <row r="818" s="9" customFormat="1" ht="15.75" customHeight="1" x14ac:dyDescent="0.3"/>
    <row r="819" s="9" customFormat="1" ht="15.75" customHeight="1" x14ac:dyDescent="0.3"/>
    <row r="820" s="9" customFormat="1" ht="15.75" customHeight="1" x14ac:dyDescent="0.3"/>
    <row r="821" s="9" customFormat="1" ht="15.75" customHeight="1" x14ac:dyDescent="0.3"/>
    <row r="822" s="9" customFormat="1" ht="15.75" customHeight="1" x14ac:dyDescent="0.3"/>
    <row r="823" s="9" customFormat="1" ht="15.75" customHeight="1" x14ac:dyDescent="0.3"/>
    <row r="824" s="9" customFormat="1" ht="15.75" customHeight="1" x14ac:dyDescent="0.3"/>
    <row r="825" s="9" customFormat="1" ht="15.75" customHeight="1" x14ac:dyDescent="0.3"/>
    <row r="826" s="9" customFormat="1" ht="15.75" customHeight="1" x14ac:dyDescent="0.3"/>
    <row r="827" s="9" customFormat="1" ht="15.75" customHeight="1" x14ac:dyDescent="0.3"/>
    <row r="828" s="9" customFormat="1" ht="15.75" customHeight="1" x14ac:dyDescent="0.3"/>
    <row r="829" s="9" customFormat="1" ht="15.75" customHeight="1" x14ac:dyDescent="0.3"/>
    <row r="830" s="9" customFormat="1" ht="15.75" customHeight="1" x14ac:dyDescent="0.3"/>
    <row r="831" s="9" customFormat="1" ht="15.75" customHeight="1" x14ac:dyDescent="0.3"/>
    <row r="832" s="9" customFormat="1" ht="15.75" customHeight="1" x14ac:dyDescent="0.3"/>
    <row r="833" s="9" customFormat="1" ht="15.75" customHeight="1" x14ac:dyDescent="0.3"/>
    <row r="834" s="9" customFormat="1" ht="15.75" customHeight="1" x14ac:dyDescent="0.3"/>
    <row r="835" s="9" customFormat="1" ht="15.75" customHeight="1" x14ac:dyDescent="0.3"/>
    <row r="836" s="9" customFormat="1" ht="15.75" customHeight="1" x14ac:dyDescent="0.3"/>
    <row r="837" s="9" customFormat="1" ht="15.75" customHeight="1" x14ac:dyDescent="0.3"/>
    <row r="838" s="9" customFormat="1" ht="15.75" customHeight="1" x14ac:dyDescent="0.3"/>
    <row r="839" s="9" customFormat="1" ht="15.75" customHeight="1" x14ac:dyDescent="0.3"/>
    <row r="840" s="9" customFormat="1" ht="15.75" customHeight="1" x14ac:dyDescent="0.3"/>
    <row r="841" s="9" customFormat="1" ht="15.75" customHeight="1" x14ac:dyDescent="0.3"/>
    <row r="842" s="9" customFormat="1" ht="15.75" customHeight="1" x14ac:dyDescent="0.3"/>
    <row r="843" s="9" customFormat="1" ht="15.75" customHeight="1" x14ac:dyDescent="0.3"/>
    <row r="844" s="9" customFormat="1" ht="15.75" customHeight="1" x14ac:dyDescent="0.3"/>
    <row r="845" s="9" customFormat="1" ht="15.75" customHeight="1" x14ac:dyDescent="0.3"/>
    <row r="846" s="9" customFormat="1" ht="15.75" customHeight="1" x14ac:dyDescent="0.3"/>
    <row r="847" s="9" customFormat="1" ht="15.75" customHeight="1" x14ac:dyDescent="0.3"/>
    <row r="848" s="9" customFormat="1" ht="15.75" customHeight="1" x14ac:dyDescent="0.3"/>
    <row r="849" s="9" customFormat="1" ht="15.75" customHeight="1" x14ac:dyDescent="0.3"/>
    <row r="850" s="9" customFormat="1" ht="15.75" customHeight="1" x14ac:dyDescent="0.3"/>
    <row r="851" s="9" customFormat="1" ht="15.75" customHeight="1" x14ac:dyDescent="0.3"/>
    <row r="852" s="9" customFormat="1" ht="15.75" customHeight="1" x14ac:dyDescent="0.3"/>
    <row r="853" s="9" customFormat="1" ht="15.75" customHeight="1" x14ac:dyDescent="0.3"/>
    <row r="854" s="9" customFormat="1" ht="15.75" customHeight="1" x14ac:dyDescent="0.3"/>
    <row r="855" s="9" customFormat="1" ht="15.75" customHeight="1" x14ac:dyDescent="0.3"/>
    <row r="856" s="9" customFormat="1" ht="15.75" customHeight="1" x14ac:dyDescent="0.3"/>
    <row r="857" s="9" customFormat="1" ht="15.75" customHeight="1" x14ac:dyDescent="0.3"/>
    <row r="858" s="9" customFormat="1" ht="15.75" customHeight="1" x14ac:dyDescent="0.3"/>
    <row r="859" s="9" customFormat="1" ht="15.75" customHeight="1" x14ac:dyDescent="0.3"/>
    <row r="860" s="9" customFormat="1" ht="15.75" customHeight="1" x14ac:dyDescent="0.3"/>
    <row r="861" s="9" customFormat="1" ht="15.75" customHeight="1" x14ac:dyDescent="0.3"/>
    <row r="862" s="9" customFormat="1" ht="15.75" customHeight="1" x14ac:dyDescent="0.3"/>
    <row r="863" s="9" customFormat="1" ht="15.75" customHeight="1" x14ac:dyDescent="0.3"/>
    <row r="864" s="9" customFormat="1" ht="15.75" customHeight="1" x14ac:dyDescent="0.3"/>
    <row r="865" s="9" customFormat="1" ht="15.75" customHeight="1" x14ac:dyDescent="0.3"/>
    <row r="866" s="9" customFormat="1" ht="15.75" customHeight="1" x14ac:dyDescent="0.3"/>
    <row r="867" s="9" customFormat="1" ht="15.75" customHeight="1" x14ac:dyDescent="0.3"/>
    <row r="868" s="9" customFormat="1" ht="15.75" customHeight="1" x14ac:dyDescent="0.3"/>
    <row r="869" s="9" customFormat="1" ht="15.75" customHeight="1" x14ac:dyDescent="0.3"/>
    <row r="870" s="9" customFormat="1" ht="15.75" customHeight="1" x14ac:dyDescent="0.3"/>
    <row r="871" s="9" customFormat="1" ht="15.75" customHeight="1" x14ac:dyDescent="0.3"/>
    <row r="872" s="9" customFormat="1" ht="15.75" customHeight="1" x14ac:dyDescent="0.3"/>
    <row r="873" s="9" customFormat="1" ht="15.75" customHeight="1" x14ac:dyDescent="0.3"/>
    <row r="874" s="9" customFormat="1" ht="15.75" customHeight="1" x14ac:dyDescent="0.3"/>
    <row r="875" s="9" customFormat="1" ht="15.75" customHeight="1" x14ac:dyDescent="0.3"/>
    <row r="876" s="9" customFormat="1" ht="15.75" customHeight="1" x14ac:dyDescent="0.3"/>
    <row r="877" s="9" customFormat="1" ht="15.75" customHeight="1" x14ac:dyDescent="0.3"/>
    <row r="878" s="9" customFormat="1" ht="15.75" customHeight="1" x14ac:dyDescent="0.3"/>
    <row r="879" s="9" customFormat="1" ht="15.75" customHeight="1" x14ac:dyDescent="0.3"/>
    <row r="880" s="9" customFormat="1" ht="15.75" customHeight="1" x14ac:dyDescent="0.3"/>
    <row r="881" s="9" customFormat="1" ht="15.75" customHeight="1" x14ac:dyDescent="0.3"/>
    <row r="882" s="9" customFormat="1" ht="15.75" customHeight="1" x14ac:dyDescent="0.3"/>
    <row r="883" s="9" customFormat="1" ht="15.75" customHeight="1" x14ac:dyDescent="0.3"/>
    <row r="884" s="9" customFormat="1" ht="15.75" customHeight="1" x14ac:dyDescent="0.3"/>
    <row r="885" s="9" customFormat="1" ht="15.75" customHeight="1" x14ac:dyDescent="0.3"/>
    <row r="886" s="9" customFormat="1" ht="15.75" customHeight="1" x14ac:dyDescent="0.3"/>
    <row r="887" s="9" customFormat="1" ht="15.75" customHeight="1" x14ac:dyDescent="0.3"/>
    <row r="888" s="9" customFormat="1" ht="15.75" customHeight="1" x14ac:dyDescent="0.3"/>
    <row r="889" s="9" customFormat="1" ht="15.75" customHeight="1" x14ac:dyDescent="0.3"/>
    <row r="890" s="9" customFormat="1" ht="15.75" customHeight="1" x14ac:dyDescent="0.3"/>
    <row r="891" s="9" customFormat="1" ht="15.75" customHeight="1" x14ac:dyDescent="0.3"/>
    <row r="892" s="9" customFormat="1" ht="15.75" customHeight="1" x14ac:dyDescent="0.3"/>
    <row r="893" s="9" customFormat="1" ht="15.75" customHeight="1" x14ac:dyDescent="0.3"/>
    <row r="894" s="9" customFormat="1" ht="15.75" customHeight="1" x14ac:dyDescent="0.3"/>
    <row r="895" s="9" customFormat="1" ht="15.75" customHeight="1" x14ac:dyDescent="0.3"/>
    <row r="896" s="9" customFormat="1" ht="15.75" customHeight="1" x14ac:dyDescent="0.3"/>
    <row r="897" s="9" customFormat="1" ht="15.75" customHeight="1" x14ac:dyDescent="0.3"/>
    <row r="898" s="9" customFormat="1" ht="15.75" customHeight="1" x14ac:dyDescent="0.3"/>
    <row r="899" s="9" customFormat="1" ht="15.75" customHeight="1" x14ac:dyDescent="0.3"/>
    <row r="900" s="9" customFormat="1" ht="15.75" customHeight="1" x14ac:dyDescent="0.3"/>
    <row r="901" s="9" customFormat="1" ht="15.75" customHeight="1" x14ac:dyDescent="0.3"/>
    <row r="902" s="9" customFormat="1" ht="15.75" customHeight="1" x14ac:dyDescent="0.3"/>
    <row r="903" s="9" customFormat="1" ht="15.75" customHeight="1" x14ac:dyDescent="0.3"/>
    <row r="904" s="9" customFormat="1" ht="15.75" customHeight="1" x14ac:dyDescent="0.3"/>
    <row r="905" s="9" customFormat="1" ht="15.75" customHeight="1" x14ac:dyDescent="0.3"/>
    <row r="906" s="9" customFormat="1" ht="15.75" customHeight="1" x14ac:dyDescent="0.3"/>
    <row r="907" s="9" customFormat="1" ht="15.75" customHeight="1" x14ac:dyDescent="0.3"/>
    <row r="908" s="9" customFormat="1" ht="15.75" customHeight="1" x14ac:dyDescent="0.3"/>
    <row r="909" s="9" customFormat="1" ht="15.75" customHeight="1" x14ac:dyDescent="0.3"/>
    <row r="910" s="9" customFormat="1" ht="15.75" customHeight="1" x14ac:dyDescent="0.3"/>
    <row r="911" s="9" customFormat="1" ht="15.75" customHeight="1" x14ac:dyDescent="0.3"/>
    <row r="912" s="9" customFormat="1" ht="15.75" customHeight="1" x14ac:dyDescent="0.3"/>
    <row r="913" s="9" customFormat="1" ht="15.75" customHeight="1" x14ac:dyDescent="0.3"/>
    <row r="914" s="9" customFormat="1" ht="15.75" customHeight="1" x14ac:dyDescent="0.3"/>
    <row r="915" s="9" customFormat="1" ht="15.75" customHeight="1" x14ac:dyDescent="0.3"/>
    <row r="916" s="9" customFormat="1" ht="15.75" customHeight="1" x14ac:dyDescent="0.3"/>
    <row r="917" s="9" customFormat="1" ht="15.75" customHeight="1" x14ac:dyDescent="0.3"/>
    <row r="918" s="9" customFormat="1" ht="15.75" customHeight="1" x14ac:dyDescent="0.3"/>
    <row r="919" s="9" customFormat="1" ht="15.75" customHeight="1" x14ac:dyDescent="0.3"/>
    <row r="920" s="9" customFormat="1" ht="15.75" customHeight="1" x14ac:dyDescent="0.3"/>
    <row r="921" s="9" customFormat="1" ht="15.75" customHeight="1" x14ac:dyDescent="0.3"/>
    <row r="922" s="9" customFormat="1" ht="15.75" customHeight="1" x14ac:dyDescent="0.3"/>
    <row r="923" s="9" customFormat="1" ht="15.75" customHeight="1" x14ac:dyDescent="0.3"/>
    <row r="924" s="9" customFormat="1" ht="15.75" customHeight="1" x14ac:dyDescent="0.3"/>
    <row r="925" s="9" customFormat="1" ht="15.75" customHeight="1" x14ac:dyDescent="0.3"/>
    <row r="926" s="9" customFormat="1" ht="15.75" customHeight="1" x14ac:dyDescent="0.3"/>
    <row r="927" s="9" customFormat="1" ht="15.75" customHeight="1" x14ac:dyDescent="0.3"/>
    <row r="928" s="9" customFormat="1" ht="15.75" customHeight="1" x14ac:dyDescent="0.3"/>
    <row r="929" s="9" customFormat="1" ht="15.75" customHeight="1" x14ac:dyDescent="0.3"/>
    <row r="930" s="9" customFormat="1" ht="15.75" customHeight="1" x14ac:dyDescent="0.3"/>
    <row r="931" s="9" customFormat="1" ht="15.75" customHeight="1" x14ac:dyDescent="0.3"/>
    <row r="932" s="9" customFormat="1" ht="15.75" customHeight="1" x14ac:dyDescent="0.3"/>
    <row r="933" s="9" customFormat="1" ht="15.75" customHeight="1" x14ac:dyDescent="0.3"/>
    <row r="934" s="9" customFormat="1" ht="15.75" customHeight="1" x14ac:dyDescent="0.3"/>
    <row r="935" s="9" customFormat="1" ht="15.75" customHeight="1" x14ac:dyDescent="0.3"/>
    <row r="936" s="9" customFormat="1" ht="15.75" customHeight="1" x14ac:dyDescent="0.3"/>
    <row r="937" s="9" customFormat="1" ht="15.75" customHeight="1" x14ac:dyDescent="0.3"/>
    <row r="938" s="9" customFormat="1" ht="15.75" customHeight="1" x14ac:dyDescent="0.3"/>
    <row r="939" s="9" customFormat="1" ht="15.75" customHeight="1" x14ac:dyDescent="0.3"/>
    <row r="940" s="9" customFormat="1" ht="15.75" customHeight="1" x14ac:dyDescent="0.3"/>
    <row r="941" s="9" customFormat="1" ht="15.75" customHeight="1" x14ac:dyDescent="0.3"/>
    <row r="942" s="9" customFormat="1" ht="15.75" customHeight="1" x14ac:dyDescent="0.3"/>
    <row r="943" s="9" customFormat="1" ht="15.75" customHeight="1" x14ac:dyDescent="0.3"/>
    <row r="944" s="9" customFormat="1" ht="15.75" customHeight="1" x14ac:dyDescent="0.3"/>
    <row r="945" s="9" customFormat="1" ht="15.75" customHeight="1" x14ac:dyDescent="0.3"/>
    <row r="946" s="9" customFormat="1" ht="15.75" customHeight="1" x14ac:dyDescent="0.3"/>
    <row r="947" s="9" customFormat="1" ht="15.75" customHeight="1" x14ac:dyDescent="0.3"/>
    <row r="948" s="9" customFormat="1" ht="15.75" customHeight="1" x14ac:dyDescent="0.3"/>
    <row r="949" s="9" customFormat="1" ht="15.75" customHeight="1" x14ac:dyDescent="0.3"/>
    <row r="950" s="9" customFormat="1" ht="15.75" customHeight="1" x14ac:dyDescent="0.3"/>
    <row r="951" s="9" customFormat="1" ht="15.75" customHeight="1" x14ac:dyDescent="0.3"/>
    <row r="952" s="9" customFormat="1" ht="15.75" customHeight="1" x14ac:dyDescent="0.3"/>
    <row r="953" s="9" customFormat="1" ht="15.75" customHeight="1" x14ac:dyDescent="0.3"/>
    <row r="954" s="9" customFormat="1" ht="15.75" customHeight="1" x14ac:dyDescent="0.3"/>
    <row r="955" s="9" customFormat="1" ht="15.75" customHeight="1" x14ac:dyDescent="0.3"/>
    <row r="956" s="9" customFormat="1" ht="15.75" customHeight="1" x14ac:dyDescent="0.3"/>
    <row r="957" s="9" customFormat="1" ht="15.75" customHeight="1" x14ac:dyDescent="0.3"/>
    <row r="958" s="9" customFormat="1" ht="15.75" customHeight="1" x14ac:dyDescent="0.3"/>
    <row r="959" s="9" customFormat="1" ht="15.75" customHeight="1" x14ac:dyDescent="0.3"/>
    <row r="960" s="9" customFormat="1" ht="15.75" customHeight="1" x14ac:dyDescent="0.3"/>
    <row r="961" s="9" customFormat="1" ht="15.75" customHeight="1" x14ac:dyDescent="0.3"/>
    <row r="962" s="9" customFormat="1" ht="15.75" customHeight="1" x14ac:dyDescent="0.3"/>
    <row r="963" s="9" customFormat="1" ht="15.75" customHeight="1" x14ac:dyDescent="0.3"/>
    <row r="964" s="9" customFormat="1" ht="15.75" customHeight="1" x14ac:dyDescent="0.3"/>
    <row r="965" s="9" customFormat="1" ht="15.75" customHeight="1" x14ac:dyDescent="0.3"/>
    <row r="966" s="9" customFormat="1" ht="15.75" customHeight="1" x14ac:dyDescent="0.3"/>
    <row r="967" s="9" customFormat="1" ht="15.75" customHeight="1" x14ac:dyDescent="0.3"/>
    <row r="968" s="9" customFormat="1" ht="15.75" customHeight="1" x14ac:dyDescent="0.3"/>
    <row r="969" s="9" customFormat="1" ht="15.75" customHeight="1" x14ac:dyDescent="0.3"/>
    <row r="970" s="9" customFormat="1" ht="15.75" customHeight="1" x14ac:dyDescent="0.3"/>
    <row r="971" s="9" customFormat="1" ht="15.75" customHeight="1" x14ac:dyDescent="0.3"/>
    <row r="972" s="9" customFormat="1" ht="15.75" customHeight="1" x14ac:dyDescent="0.3"/>
    <row r="973" s="9" customFormat="1" ht="15.75" customHeight="1" x14ac:dyDescent="0.3"/>
    <row r="974" s="9" customFormat="1" ht="15.75" customHeight="1" x14ac:dyDescent="0.3"/>
    <row r="975" s="9" customFormat="1" ht="15.75" customHeight="1" x14ac:dyDescent="0.3"/>
    <row r="976" s="9" customFormat="1" ht="15.75" customHeight="1" x14ac:dyDescent="0.3"/>
    <row r="977" s="9" customFormat="1" ht="15.75" customHeight="1" x14ac:dyDescent="0.3"/>
    <row r="978" s="9" customFormat="1" ht="15.75" customHeight="1" x14ac:dyDescent="0.3"/>
    <row r="979" s="9" customFormat="1" ht="15.75" customHeight="1" x14ac:dyDescent="0.3"/>
    <row r="980" s="9" customFormat="1" ht="15.75" customHeight="1" x14ac:dyDescent="0.3"/>
    <row r="981" s="9" customFormat="1" ht="15.75" customHeight="1" x14ac:dyDescent="0.3"/>
    <row r="982" s="9" customFormat="1" ht="15.75" customHeight="1" x14ac:dyDescent="0.3"/>
    <row r="983" s="9" customFormat="1" ht="15.75" customHeight="1" x14ac:dyDescent="0.3"/>
    <row r="984" s="9" customFormat="1" ht="15.75" customHeight="1" x14ac:dyDescent="0.3"/>
    <row r="985" s="9" customFormat="1" ht="15.75" customHeight="1" x14ac:dyDescent="0.3"/>
    <row r="986" s="9" customFormat="1" ht="15.75" customHeight="1" x14ac:dyDescent="0.3"/>
    <row r="987" s="9" customFormat="1" ht="15.75" customHeight="1" x14ac:dyDescent="0.3"/>
    <row r="988" s="9" customFormat="1" ht="15.75" customHeight="1" x14ac:dyDescent="0.3"/>
    <row r="989" s="9" customFormat="1" ht="15.75" customHeight="1" x14ac:dyDescent="0.3"/>
    <row r="990" s="9" customFormat="1" ht="15.75" customHeight="1" x14ac:dyDescent="0.3"/>
    <row r="991" s="9" customFormat="1" ht="15.75" customHeight="1" x14ac:dyDescent="0.3"/>
    <row r="992" s="9" customFormat="1" ht="15.75" customHeight="1" x14ac:dyDescent="0.3"/>
    <row r="993" s="9" customFormat="1" ht="15.75" customHeight="1" x14ac:dyDescent="0.3"/>
    <row r="994" s="9" customFormat="1" ht="15.75" customHeight="1" x14ac:dyDescent="0.3"/>
    <row r="995" s="9" customFormat="1" ht="15.75" customHeight="1" x14ac:dyDescent="0.3"/>
    <row r="996" s="9" customFormat="1" ht="15.75" customHeight="1" x14ac:dyDescent="0.3"/>
    <row r="997" s="9" customFormat="1" ht="15.75" customHeight="1" x14ac:dyDescent="0.3"/>
    <row r="998" s="9" customFormat="1" ht="15.75" customHeight="1" x14ac:dyDescent="0.3"/>
    <row r="999" s="9" customFormat="1" ht="15.75" customHeight="1" x14ac:dyDescent="0.3"/>
    <row r="1000" s="9" customFormat="1" ht="15.75" customHeight="1" x14ac:dyDescent="0.3"/>
  </sheetData>
  <scenarios current="1" show="1" sqref="Y12">
    <scenario name="High Sales" locked="1" count="1" user="KRISHA PATEL" comment="Created by KRISHA PATEL on 15-12-2025">
      <inputCells r="V35" val="60000"/>
    </scenario>
    <scenario name="Low Sales" locked="1" count="1" user="KRISHA PATEL" comment="Created by KRISHA PATEL on 15-12-2025">
      <inputCells r="V35" val="40000"/>
    </scenario>
  </scenarios>
  <mergeCells count="1">
    <mergeCell ref="U10:W10"/>
  </mergeCells>
  <phoneticPr fontId="11" type="noConversion"/>
  <conditionalFormatting sqref="N2:N251 O2">
    <cfRule type="top10" dxfId="0" priority="2" rank="10"/>
  </conditionalFormatting>
  <conditionalFormatting sqref="W13:W24">
    <cfRule type="iconSet" priority="1">
      <iconSet iconSet="3Arrows">
        <cfvo type="percent" val="0"/>
        <cfvo type="percent" val="33"/>
        <cfvo type="percent" val="67"/>
      </iconSet>
    </cfRule>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266D-C246-454E-A299-2C7AED6C3EA3}">
  <dimension ref="A1:F51"/>
  <sheetViews>
    <sheetView tabSelected="1" workbookViewId="0">
      <selection activeCell="I13" sqref="I13"/>
    </sheetView>
  </sheetViews>
  <sheetFormatPr defaultColWidth="8.88671875" defaultRowHeight="14.4" x14ac:dyDescent="0.3"/>
  <cols>
    <col min="1" max="1" width="15.109375" style="9" bestFit="1" customWidth="1"/>
    <col min="2" max="2" width="12.6640625" style="9" bestFit="1" customWidth="1"/>
    <col min="3" max="3" width="8.88671875" style="9"/>
    <col min="4" max="4" width="15.109375" style="9" bestFit="1" customWidth="1"/>
    <col min="5" max="5" width="12.6640625" style="9" bestFit="1" customWidth="1"/>
    <col min="6" max="6" width="14.88671875" style="9" bestFit="1" customWidth="1"/>
    <col min="7" max="7" width="8.88671875" style="9"/>
    <col min="8" max="8" width="12.6640625" style="9" bestFit="1" customWidth="1"/>
    <col min="9" max="16384" width="8.88671875" style="9"/>
  </cols>
  <sheetData>
    <row r="1" spans="1:6" x14ac:dyDescent="0.3">
      <c r="A1" s="51" t="s">
        <v>4</v>
      </c>
      <c r="B1" s="48" t="s">
        <v>14</v>
      </c>
      <c r="D1"/>
      <c r="E1"/>
    </row>
    <row r="2" spans="1:6" x14ac:dyDescent="0.3">
      <c r="A2" s="19" t="str" cm="1">
        <f t="array" ref="A2:A51">_xlfn.UNIQUE('Final Project Dataset'!D2:D251)</f>
        <v>Paul Baker</v>
      </c>
      <c r="B2" s="18" cm="1">
        <f t="array" ref="B2:B51">SUMIF('Final Project Dataset'!D2:D251,_xlfn.ANCHORARRAY( A2), 'Final Project Dataset'!N2:N251)</f>
        <v>8309.739999999998</v>
      </c>
      <c r="D2" s="50" t="s">
        <v>477</v>
      </c>
      <c r="E2" s="50" t="s">
        <v>478</v>
      </c>
      <c r="F2" s="50" t="s">
        <v>4</v>
      </c>
    </row>
    <row r="3" spans="1:6" x14ac:dyDescent="0.3">
      <c r="A3" s="18" t="str">
        <v>Joseph Jackson</v>
      </c>
      <c r="B3" s="18">
        <v>6949.84</v>
      </c>
      <c r="D3" s="45">
        <v>1</v>
      </c>
      <c r="E3" s="45">
        <f>LARGE(A2:B51,D3)</f>
        <v>15659.65</v>
      </c>
      <c r="F3" s="45" t="str">
        <f>INDEX(A2:B51,MATCH(E3,B2:B51,0),1)</f>
        <v>Mark Carter</v>
      </c>
    </row>
    <row r="4" spans="1:6" x14ac:dyDescent="0.3">
      <c r="A4" s="18" t="str">
        <v>Kevin Scott</v>
      </c>
      <c r="B4" s="18">
        <v>3259.87</v>
      </c>
      <c r="D4" s="45">
        <v>2</v>
      </c>
      <c r="E4" s="45">
        <f t="shared" ref="E4:E12" si="0">LARGE(A3:B52,D4)</f>
        <v>11919.769999999999</v>
      </c>
      <c r="F4" s="45" t="str">
        <f t="shared" ref="F4:F12" si="1">INDEX(A3:B52,MATCH(E4,B3:B52,0),1)</f>
        <v>Edward Mitchell</v>
      </c>
    </row>
    <row r="5" spans="1:6" x14ac:dyDescent="0.3">
      <c r="A5" s="18" t="str">
        <v>Kathleen Bennett</v>
      </c>
      <c r="B5" s="18">
        <v>4309.8099999999995</v>
      </c>
      <c r="D5" s="45">
        <v>3</v>
      </c>
      <c r="E5" s="45">
        <f t="shared" si="0"/>
        <v>10649.8</v>
      </c>
      <c r="F5" s="45" t="str">
        <f t="shared" si="1"/>
        <v>Barbara Young</v>
      </c>
    </row>
    <row r="6" spans="1:6" x14ac:dyDescent="0.3">
      <c r="A6" s="18" t="str">
        <v>Michael Brown</v>
      </c>
      <c r="B6" s="18">
        <v>6169.7400000000007</v>
      </c>
      <c r="D6" s="45">
        <v>4</v>
      </c>
      <c r="E6" s="45">
        <f t="shared" si="0"/>
        <v>9799.73</v>
      </c>
      <c r="F6" s="45" t="str">
        <f t="shared" si="1"/>
        <v>Patricia Moore</v>
      </c>
    </row>
    <row r="7" spans="1:6" x14ac:dyDescent="0.3">
      <c r="A7" s="18" t="str">
        <v>Dorothy Nelson</v>
      </c>
      <c r="B7" s="18">
        <v>8269.7900000000009</v>
      </c>
      <c r="D7" s="45">
        <v>5</v>
      </c>
      <c r="E7" s="45">
        <f t="shared" si="0"/>
        <v>8269.7900000000009</v>
      </c>
      <c r="F7" s="45" t="str">
        <f t="shared" si="1"/>
        <v>Dorothy Nelson</v>
      </c>
    </row>
    <row r="8" spans="1:6" x14ac:dyDescent="0.3">
      <c r="A8" s="18" t="str">
        <v>Charles Allen</v>
      </c>
      <c r="B8" s="18">
        <v>5089.7300000000005</v>
      </c>
      <c r="D8" s="45">
        <v>6</v>
      </c>
      <c r="E8" s="45">
        <f t="shared" si="0"/>
        <v>8009.7699999999995</v>
      </c>
      <c r="F8" s="45" t="str">
        <f t="shared" si="1"/>
        <v>Karen Hill</v>
      </c>
    </row>
    <row r="9" spans="1:6" x14ac:dyDescent="0.3">
      <c r="A9" s="18" t="str">
        <v>Robert Thomas</v>
      </c>
      <c r="B9" s="18">
        <v>3509.8999999999996</v>
      </c>
      <c r="D9" s="45">
        <v>7</v>
      </c>
      <c r="E9" s="45">
        <f t="shared" si="0"/>
        <v>6989.7699999999986</v>
      </c>
      <c r="F9" s="45" t="str">
        <f t="shared" si="1"/>
        <v>Lawrence Reed</v>
      </c>
    </row>
    <row r="10" spans="1:6" x14ac:dyDescent="0.3">
      <c r="A10" s="18" t="str">
        <v>Karen Hill</v>
      </c>
      <c r="B10" s="18">
        <v>8009.7699999999995</v>
      </c>
      <c r="D10" s="45">
        <v>8</v>
      </c>
      <c r="E10" s="45">
        <f t="shared" si="0"/>
        <v>6459.79</v>
      </c>
      <c r="F10" s="45" t="str">
        <f t="shared" si="1"/>
        <v>Helen Roberts</v>
      </c>
    </row>
    <row r="11" spans="1:6" x14ac:dyDescent="0.3">
      <c r="A11" s="18" t="str">
        <v>Susan Green</v>
      </c>
      <c r="B11" s="18">
        <v>1979.89</v>
      </c>
      <c r="D11" s="45">
        <v>9</v>
      </c>
      <c r="E11" s="45">
        <f t="shared" si="0"/>
        <v>6379.87</v>
      </c>
      <c r="F11" s="45" t="str">
        <f t="shared" si="1"/>
        <v>Gerald Murphy</v>
      </c>
    </row>
    <row r="12" spans="1:6" x14ac:dyDescent="0.3">
      <c r="A12" s="18" t="str">
        <v>Peter Richardson</v>
      </c>
      <c r="B12" s="18">
        <v>5949.85</v>
      </c>
      <c r="D12" s="45">
        <v>10</v>
      </c>
      <c r="E12" s="45">
        <f t="shared" si="0"/>
        <v>5949.85</v>
      </c>
      <c r="F12" s="45" t="str">
        <f t="shared" si="1"/>
        <v>Peter Richardson</v>
      </c>
    </row>
    <row r="13" spans="1:6" x14ac:dyDescent="0.3">
      <c r="A13" s="18" t="str">
        <v>Dennis Gray</v>
      </c>
      <c r="B13" s="18">
        <v>479.91999999999996</v>
      </c>
      <c r="D13"/>
      <c r="E13"/>
    </row>
    <row r="14" spans="1:6" x14ac:dyDescent="0.3">
      <c r="A14" s="18" t="str">
        <v>Michelle Rogers</v>
      </c>
      <c r="B14" s="18">
        <v>4199.9399999999996</v>
      </c>
      <c r="D14"/>
      <c r="E14"/>
    </row>
    <row r="15" spans="1:6" x14ac:dyDescent="0.3">
      <c r="A15" s="18" t="str">
        <v>George Adams</v>
      </c>
      <c r="B15" s="18">
        <v>3779.93</v>
      </c>
      <c r="D15"/>
      <c r="E15"/>
    </row>
    <row r="16" spans="1:6" x14ac:dyDescent="0.3">
      <c r="A16" s="18" t="str">
        <v>Mark Carter</v>
      </c>
      <c r="B16" s="18">
        <v>15659.65</v>
      </c>
      <c r="D16"/>
      <c r="E16"/>
    </row>
    <row r="17" spans="1:5" x14ac:dyDescent="0.3">
      <c r="A17" s="18" t="str">
        <v>Maria Garcia</v>
      </c>
      <c r="B17" s="18">
        <v>1909.93</v>
      </c>
      <c r="D17"/>
      <c r="E17"/>
    </row>
    <row r="18" spans="1:5" x14ac:dyDescent="0.3">
      <c r="A18" s="18" t="str">
        <v>Virginia Sanders</v>
      </c>
      <c r="B18" s="18">
        <v>4789.7900000000009</v>
      </c>
      <c r="D18"/>
      <c r="E18"/>
    </row>
    <row r="19" spans="1:5" x14ac:dyDescent="0.3">
      <c r="A19" s="18" t="str">
        <v>Barbara Young</v>
      </c>
      <c r="B19" s="18">
        <v>10649.8</v>
      </c>
      <c r="D19"/>
      <c r="E19"/>
    </row>
    <row r="20" spans="1:5" x14ac:dyDescent="0.3">
      <c r="A20" s="18" t="str">
        <v>Patricia Moore</v>
      </c>
      <c r="B20" s="18">
        <v>9799.73</v>
      </c>
      <c r="D20"/>
      <c r="E20"/>
    </row>
    <row r="21" spans="1:5" x14ac:dyDescent="0.3">
      <c r="A21" s="18" t="str">
        <v>Cynthia Price</v>
      </c>
      <c r="B21" s="18">
        <v>3769.8300000000004</v>
      </c>
      <c r="D21"/>
      <c r="E21"/>
    </row>
    <row r="22" spans="1:5" x14ac:dyDescent="0.3">
      <c r="A22" s="18" t="str">
        <v>Nancy Collins</v>
      </c>
      <c r="B22" s="18">
        <v>4189.7700000000004</v>
      </c>
      <c r="D22"/>
      <c r="E22"/>
    </row>
    <row r="23" spans="1:5" x14ac:dyDescent="0.3">
      <c r="A23" s="18" t="str">
        <v>Linda Martin</v>
      </c>
      <c r="B23" s="18">
        <v>1289.9000000000001</v>
      </c>
      <c r="D23"/>
      <c r="E23"/>
    </row>
    <row r="24" spans="1:5" x14ac:dyDescent="0.3">
      <c r="A24" s="18" t="str">
        <v>Helen Roberts</v>
      </c>
      <c r="B24" s="18">
        <v>6459.79</v>
      </c>
      <c r="D24"/>
      <c r="E24"/>
    </row>
    <row r="25" spans="1:5" x14ac:dyDescent="0.3">
      <c r="A25" s="18" t="str">
        <v>Edward Mitchell</v>
      </c>
      <c r="B25" s="18">
        <v>11919.769999999999</v>
      </c>
      <c r="D25"/>
      <c r="E25"/>
    </row>
    <row r="26" spans="1:5" x14ac:dyDescent="0.3">
      <c r="A26" s="18" t="str">
        <v>Lisa Anderson</v>
      </c>
      <c r="B26" s="18">
        <v>2039.8000000000002</v>
      </c>
      <c r="D26"/>
      <c r="E26"/>
    </row>
    <row r="27" spans="1:5" x14ac:dyDescent="0.3">
      <c r="A27" s="18" t="str">
        <v>Emma Wilson</v>
      </c>
      <c r="B27" s="18">
        <v>1229.8800000000001</v>
      </c>
      <c r="D27"/>
      <c r="E27"/>
    </row>
    <row r="28" spans="1:5" x14ac:dyDescent="0.3">
      <c r="A28" s="18" t="str">
        <v>Steven Turner</v>
      </c>
      <c r="B28" s="18">
        <v>2649.83</v>
      </c>
      <c r="D28"/>
      <c r="E28"/>
    </row>
    <row r="29" spans="1:5" x14ac:dyDescent="0.3">
      <c r="A29" s="18" t="str">
        <v>Jennifer Taylor</v>
      </c>
      <c r="B29" s="18">
        <v>4739.8500000000004</v>
      </c>
      <c r="D29"/>
      <c r="E29"/>
    </row>
    <row r="30" spans="1:5" x14ac:dyDescent="0.3">
      <c r="A30" s="18" t="str">
        <v>Harry Morgan</v>
      </c>
      <c r="B30" s="18">
        <v>5519.8899999999994</v>
      </c>
      <c r="D30"/>
      <c r="E30"/>
    </row>
    <row r="31" spans="1:5" x14ac:dyDescent="0.3">
      <c r="A31" s="18" t="str">
        <v>Daniel King</v>
      </c>
      <c r="B31" s="18">
        <v>7309.7999999999993</v>
      </c>
      <c r="D31"/>
      <c r="E31"/>
    </row>
    <row r="32" spans="1:5" x14ac:dyDescent="0.3">
      <c r="A32" s="18" t="str">
        <v>Sharon Butler</v>
      </c>
      <c r="B32" s="18">
        <v>5619.869999999999</v>
      </c>
      <c r="D32"/>
      <c r="E32"/>
    </row>
    <row r="33" spans="1:5" x14ac:dyDescent="0.3">
      <c r="A33" s="18" t="str">
        <v>Sarah Davis</v>
      </c>
      <c r="B33" s="18">
        <v>5499.8099999999995</v>
      </c>
      <c r="D33"/>
      <c r="E33"/>
    </row>
    <row r="34" spans="1:5" x14ac:dyDescent="0.3">
      <c r="A34" s="18" t="str">
        <v>Betty Campbell</v>
      </c>
      <c r="B34" s="18">
        <v>5649.84</v>
      </c>
      <c r="D34"/>
      <c r="E34"/>
    </row>
    <row r="35" spans="1:5" x14ac:dyDescent="0.3">
      <c r="A35" s="18" t="str">
        <v>Julie Foster</v>
      </c>
      <c r="B35" s="18">
        <v>239.96</v>
      </c>
      <c r="D35"/>
      <c r="E35"/>
    </row>
    <row r="36" spans="1:5" x14ac:dyDescent="0.3">
      <c r="A36" s="18" t="str">
        <v>Raymond Ross</v>
      </c>
      <c r="B36" s="18">
        <v>3669.8500000000004</v>
      </c>
      <c r="D36"/>
      <c r="E36"/>
    </row>
    <row r="37" spans="1:5" x14ac:dyDescent="0.3">
      <c r="A37" s="18" t="str">
        <v>David Martinez</v>
      </c>
      <c r="B37" s="18">
        <v>1809.84</v>
      </c>
    </row>
    <row r="38" spans="1:5" x14ac:dyDescent="0.3">
      <c r="A38" s="18" t="str">
        <v>Margaret Wright</v>
      </c>
      <c r="B38" s="18">
        <v>2099.88</v>
      </c>
    </row>
    <row r="39" spans="1:5" x14ac:dyDescent="0.3">
      <c r="A39" s="18" t="str">
        <v>Frank Torres</v>
      </c>
      <c r="B39" s="18">
        <v>1479.91</v>
      </c>
    </row>
    <row r="40" spans="1:5" x14ac:dyDescent="0.3">
      <c r="A40" s="18" t="str">
        <v>Gerald Murphy</v>
      </c>
      <c r="B40" s="18">
        <v>6379.87</v>
      </c>
    </row>
    <row r="41" spans="1:5" x14ac:dyDescent="0.3">
      <c r="A41" s="18" t="str">
        <v>Elizabeth Hall</v>
      </c>
      <c r="B41" s="18">
        <v>3649.8599999999997</v>
      </c>
    </row>
    <row r="42" spans="1:5" x14ac:dyDescent="0.3">
      <c r="A42" s="18" t="str">
        <v>Lawrence Reed</v>
      </c>
      <c r="B42" s="18">
        <v>6989.7699999999986</v>
      </c>
    </row>
    <row r="43" spans="1:5" x14ac:dyDescent="0.3">
      <c r="A43" s="18" t="str">
        <v>Carol Evans</v>
      </c>
      <c r="B43" s="18">
        <v>1149.93</v>
      </c>
    </row>
    <row r="44" spans="1:5" x14ac:dyDescent="0.3">
      <c r="A44" s="18" t="str">
        <v>Sandra Phillips</v>
      </c>
      <c r="B44" s="18">
        <v>6349.83</v>
      </c>
    </row>
    <row r="45" spans="1:5" x14ac:dyDescent="0.3">
      <c r="A45" s="18" t="str">
        <v>Ruth Brooks</v>
      </c>
      <c r="B45" s="18">
        <v>1749.92</v>
      </c>
    </row>
    <row r="46" spans="1:5" x14ac:dyDescent="0.3">
      <c r="A46" s="18" t="str">
        <v>William White</v>
      </c>
      <c r="B46" s="18">
        <v>4749.91</v>
      </c>
    </row>
    <row r="47" spans="1:5" x14ac:dyDescent="0.3">
      <c r="A47" s="18" t="str">
        <v>Richard Lee</v>
      </c>
      <c r="B47" s="18">
        <v>739.93000000000006</v>
      </c>
    </row>
    <row r="48" spans="1:5" x14ac:dyDescent="0.3">
      <c r="A48" s="18" t="str">
        <v>Douglas Watson</v>
      </c>
      <c r="B48" s="18">
        <v>4829.8899999999994</v>
      </c>
    </row>
    <row r="49" spans="1:2" x14ac:dyDescent="0.3">
      <c r="A49" s="18" t="str">
        <v>James Johnson</v>
      </c>
      <c r="B49" s="18">
        <v>179.97</v>
      </c>
    </row>
    <row r="50" spans="1:2" x14ac:dyDescent="0.3">
      <c r="A50" s="18" t="str">
        <v>Arthur Edwards</v>
      </c>
      <c r="B50" s="18">
        <v>1559.94</v>
      </c>
    </row>
    <row r="51" spans="1:2" x14ac:dyDescent="0.3">
      <c r="A51" s="18" t="str">
        <v>John Smith</v>
      </c>
      <c r="B51" s="18">
        <v>599.96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7243-89E1-4442-A617-21DBCDA71EE2}">
  <dimension ref="F3:G7"/>
  <sheetViews>
    <sheetView workbookViewId="0">
      <selection activeCell="E12" sqref="E12"/>
    </sheetView>
  </sheetViews>
  <sheetFormatPr defaultRowHeight="14.4" x14ac:dyDescent="0.3"/>
  <cols>
    <col min="1" max="1" width="12.5546875" bestFit="1" customWidth="1"/>
    <col min="2" max="2" width="19.6640625" bestFit="1" customWidth="1"/>
    <col min="6" max="6" width="13.109375" bestFit="1" customWidth="1"/>
    <col min="7" max="7" width="20.44140625" bestFit="1" customWidth="1"/>
  </cols>
  <sheetData>
    <row r="3" spans="6:7" x14ac:dyDescent="0.3">
      <c r="F3" s="4" t="s">
        <v>402</v>
      </c>
      <c r="G3" t="s">
        <v>404</v>
      </c>
    </row>
    <row r="4" spans="6:7" x14ac:dyDescent="0.3">
      <c r="F4" s="5" t="s">
        <v>34</v>
      </c>
      <c r="G4">
        <v>8338.7399999999961</v>
      </c>
    </row>
    <row r="5" spans="6:7" x14ac:dyDescent="0.3">
      <c r="F5" s="5" t="s">
        <v>20</v>
      </c>
      <c r="G5">
        <v>171756.05000000013</v>
      </c>
    </row>
    <row r="6" spans="6:7" x14ac:dyDescent="0.3">
      <c r="F6" s="5" t="s">
        <v>47</v>
      </c>
      <c r="G6">
        <v>49097.680000000015</v>
      </c>
    </row>
    <row r="7" spans="6:7" x14ac:dyDescent="0.3">
      <c r="F7" s="5" t="s">
        <v>403</v>
      </c>
      <c r="G7">
        <v>229192.47000000015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D1F5-38FC-4C44-8329-A2F3E464232E}">
  <dimension ref="A1:N17"/>
  <sheetViews>
    <sheetView workbookViewId="0">
      <selection activeCell="N6" sqref="N6"/>
    </sheetView>
  </sheetViews>
  <sheetFormatPr defaultRowHeight="14.4" x14ac:dyDescent="0.3"/>
  <cols>
    <col min="1" max="1" width="13.109375" bestFit="1" customWidth="1"/>
    <col min="2" max="2" width="20.44140625" bestFit="1" customWidth="1"/>
    <col min="14" max="14" width="11.88671875" bestFit="1" customWidth="1"/>
  </cols>
  <sheetData>
    <row r="1" spans="1:14" x14ac:dyDescent="0.3">
      <c r="A1" s="4" t="s">
        <v>402</v>
      </c>
      <c r="B1" t="s">
        <v>404</v>
      </c>
    </row>
    <row r="2" spans="1:14" x14ac:dyDescent="0.3">
      <c r="A2" s="5" t="s">
        <v>405</v>
      </c>
      <c r="B2">
        <v>160444.72999999998</v>
      </c>
    </row>
    <row r="3" spans="1:14" x14ac:dyDescent="0.3">
      <c r="A3" s="6" t="s">
        <v>407</v>
      </c>
      <c r="B3">
        <v>20919.330000000002</v>
      </c>
    </row>
    <row r="4" spans="1:14" x14ac:dyDescent="0.3">
      <c r="A4" s="6" t="s">
        <v>408</v>
      </c>
      <c r="B4">
        <v>17039.349999999999</v>
      </c>
    </row>
    <row r="5" spans="1:14" x14ac:dyDescent="0.3">
      <c r="A5" s="6" t="s">
        <v>409</v>
      </c>
      <c r="B5">
        <v>19299.45</v>
      </c>
    </row>
    <row r="6" spans="1:14" x14ac:dyDescent="0.3">
      <c r="A6" s="6" t="s">
        <v>410</v>
      </c>
      <c r="B6">
        <v>18479.399999999994</v>
      </c>
      <c r="N6" s="12">
        <f>GETPIVOTDATA("Total_Amount",$A$1)</f>
        <v>229192.46999999997</v>
      </c>
    </row>
    <row r="7" spans="1:14" x14ac:dyDescent="0.3">
      <c r="A7" s="6" t="s">
        <v>411</v>
      </c>
      <c r="B7">
        <v>15759.429999999997</v>
      </c>
    </row>
    <row r="8" spans="1:14" x14ac:dyDescent="0.3">
      <c r="A8" s="6" t="s">
        <v>412</v>
      </c>
      <c r="B8">
        <v>12989.509999999997</v>
      </c>
    </row>
    <row r="9" spans="1:14" x14ac:dyDescent="0.3">
      <c r="A9" s="6" t="s">
        <v>413</v>
      </c>
      <c r="B9">
        <v>20609.52</v>
      </c>
    </row>
    <row r="10" spans="1:14" x14ac:dyDescent="0.3">
      <c r="A10" s="6" t="s">
        <v>414</v>
      </c>
      <c r="B10">
        <v>12309.439999999999</v>
      </c>
    </row>
    <row r="11" spans="1:14" x14ac:dyDescent="0.3">
      <c r="A11" s="6" t="s">
        <v>415</v>
      </c>
      <c r="B11">
        <v>23039.3</v>
      </c>
    </row>
    <row r="12" spans="1:14" x14ac:dyDescent="0.3">
      <c r="A12" s="5" t="s">
        <v>406</v>
      </c>
      <c r="B12">
        <v>68747.739999999991</v>
      </c>
    </row>
    <row r="13" spans="1:14" x14ac:dyDescent="0.3">
      <c r="A13" s="6" t="s">
        <v>416</v>
      </c>
      <c r="B13">
        <v>25799.15</v>
      </c>
    </row>
    <row r="14" spans="1:14" x14ac:dyDescent="0.3">
      <c r="A14" s="6" t="s">
        <v>417</v>
      </c>
      <c r="B14">
        <v>16069.379999999997</v>
      </c>
    </row>
    <row r="15" spans="1:14" x14ac:dyDescent="0.3">
      <c r="A15" s="6" t="s">
        <v>418</v>
      </c>
      <c r="B15">
        <v>19899.379999999997</v>
      </c>
    </row>
    <row r="16" spans="1:14" x14ac:dyDescent="0.3">
      <c r="A16" s="6" t="s">
        <v>407</v>
      </c>
      <c r="B16">
        <v>6979.829999999999</v>
      </c>
    </row>
    <row r="17" spans="1:2" x14ac:dyDescent="0.3">
      <c r="A17" s="5" t="s">
        <v>403</v>
      </c>
      <c r="B17" s="7">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1173-FF7C-4CEC-9F3C-6EE40FF78320}">
  <dimension ref="A1:B7"/>
  <sheetViews>
    <sheetView workbookViewId="0">
      <selection activeCell="B5" sqref="B5"/>
    </sheetView>
  </sheetViews>
  <sheetFormatPr defaultRowHeight="14.4" x14ac:dyDescent="0.3"/>
  <cols>
    <col min="1" max="1" width="13.109375" bestFit="1" customWidth="1"/>
    <col min="2" max="2" width="20.44140625" bestFit="1" customWidth="1"/>
  </cols>
  <sheetData>
    <row r="1" spans="1:2" x14ac:dyDescent="0.3">
      <c r="A1" s="4" t="s">
        <v>402</v>
      </c>
      <c r="B1" t="s">
        <v>404</v>
      </c>
    </row>
    <row r="2" spans="1:2" x14ac:dyDescent="0.3">
      <c r="A2" s="5" t="s">
        <v>22</v>
      </c>
      <c r="B2">
        <v>41288.340000000018</v>
      </c>
    </row>
    <row r="3" spans="1:2" x14ac:dyDescent="0.3">
      <c r="A3" s="5" t="s">
        <v>64</v>
      </c>
      <c r="B3">
        <v>59288.389999999992</v>
      </c>
    </row>
    <row r="4" spans="1:2" x14ac:dyDescent="0.3">
      <c r="A4" s="5" t="s">
        <v>41</v>
      </c>
      <c r="B4">
        <v>50808.310000000012</v>
      </c>
    </row>
    <row r="5" spans="1:2" x14ac:dyDescent="0.3">
      <c r="A5" s="5" t="s">
        <v>36</v>
      </c>
      <c r="B5">
        <v>36398.750000000007</v>
      </c>
    </row>
    <row r="6" spans="1:2" x14ac:dyDescent="0.3">
      <c r="A6" s="5" t="s">
        <v>51</v>
      </c>
      <c r="B6">
        <v>41408.680000000015</v>
      </c>
    </row>
    <row r="7" spans="1:2" x14ac:dyDescent="0.3">
      <c r="A7" s="5" t="s">
        <v>403</v>
      </c>
      <c r="B7">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AB98-B4A8-4A1A-9663-536FE539D050}">
  <dimension ref="E3:M20"/>
  <sheetViews>
    <sheetView workbookViewId="0">
      <selection activeCell="F6" sqref="F6"/>
    </sheetView>
  </sheetViews>
  <sheetFormatPr defaultRowHeight="14.4" x14ac:dyDescent="0.3"/>
  <cols>
    <col min="5" max="5" width="17.44140625" bestFit="1" customWidth="1"/>
    <col min="6" max="6" width="12.6640625" bestFit="1" customWidth="1"/>
    <col min="7" max="7" width="13.44140625" bestFit="1" customWidth="1"/>
    <col min="8" max="8" width="12.6640625" bestFit="1" customWidth="1"/>
    <col min="9" max="9" width="12" bestFit="1" customWidth="1"/>
    <col min="10" max="10" width="12.6640625" bestFit="1" customWidth="1"/>
    <col min="11" max="11" width="12" bestFit="1" customWidth="1"/>
    <col min="12" max="12" width="12.6640625" bestFit="1" customWidth="1"/>
    <col min="13" max="13" width="12.109375" bestFit="1" customWidth="1"/>
  </cols>
  <sheetData>
    <row r="3" spans="5:10" x14ac:dyDescent="0.3">
      <c r="E3" s="55" t="s">
        <v>423</v>
      </c>
      <c r="F3" s="56"/>
    </row>
    <row r="5" spans="5:10" x14ac:dyDescent="0.3">
      <c r="E5" s="27" t="s">
        <v>424</v>
      </c>
      <c r="F5" s="28"/>
    </row>
    <row r="6" spans="5:10" x14ac:dyDescent="0.3">
      <c r="E6" s="29" t="s">
        <v>425</v>
      </c>
      <c r="F6" s="30">
        <v>0.45809869406349091</v>
      </c>
    </row>
    <row r="7" spans="5:10" x14ac:dyDescent="0.3">
      <c r="E7" s="29" t="s">
        <v>426</v>
      </c>
      <c r="F7" s="30">
        <v>0.20985441350267586</v>
      </c>
    </row>
    <row r="8" spans="5:10" x14ac:dyDescent="0.3">
      <c r="E8" s="29" t="s">
        <v>427</v>
      </c>
      <c r="F8" s="30">
        <v>0.20665544351685675</v>
      </c>
    </row>
    <row r="9" spans="5:10" x14ac:dyDescent="0.3">
      <c r="E9" s="29" t="s">
        <v>428</v>
      </c>
      <c r="F9" s="30">
        <v>921.40854264214693</v>
      </c>
    </row>
    <row r="10" spans="5:10" x14ac:dyDescent="0.3">
      <c r="E10" s="31" t="s">
        <v>429</v>
      </c>
      <c r="F10" s="32">
        <v>249</v>
      </c>
    </row>
    <row r="12" spans="5:10" x14ac:dyDescent="0.3">
      <c r="E12" t="s">
        <v>430</v>
      </c>
    </row>
    <row r="13" spans="5:10" x14ac:dyDescent="0.3">
      <c r="E13" s="33"/>
      <c r="F13" s="34" t="s">
        <v>435</v>
      </c>
      <c r="G13" s="34" t="s">
        <v>436</v>
      </c>
      <c r="H13" s="34" t="s">
        <v>437</v>
      </c>
      <c r="I13" s="34" t="s">
        <v>438</v>
      </c>
      <c r="J13" s="35" t="s">
        <v>439</v>
      </c>
    </row>
    <row r="14" spans="5:10" x14ac:dyDescent="0.3">
      <c r="E14" s="29" t="s">
        <v>431</v>
      </c>
      <c r="F14" s="36">
        <v>1</v>
      </c>
      <c r="G14" s="36">
        <v>55694513.010666132</v>
      </c>
      <c r="H14" s="36">
        <v>55694513.010666132</v>
      </c>
      <c r="I14" s="36">
        <v>65.600619709765951</v>
      </c>
      <c r="J14" s="30">
        <v>2.5391277291094679E-14</v>
      </c>
    </row>
    <row r="15" spans="5:10" x14ac:dyDescent="0.3">
      <c r="E15" s="29" t="s">
        <v>432</v>
      </c>
      <c r="F15" s="36">
        <v>247</v>
      </c>
      <c r="G15" s="36">
        <v>209701444.50611952</v>
      </c>
      <c r="H15" s="36">
        <v>848993.70245392516</v>
      </c>
      <c r="I15" s="36"/>
      <c r="J15" s="30"/>
    </row>
    <row r="16" spans="5:10" x14ac:dyDescent="0.3">
      <c r="E16" s="31" t="s">
        <v>433</v>
      </c>
      <c r="F16" s="37">
        <v>248</v>
      </c>
      <c r="G16" s="37">
        <v>265395957.51678565</v>
      </c>
      <c r="H16" s="37"/>
      <c r="I16" s="37"/>
      <c r="J16" s="32"/>
    </row>
    <row r="18" spans="5:13" x14ac:dyDescent="0.3">
      <c r="E18" s="33"/>
      <c r="F18" s="34" t="s">
        <v>440</v>
      </c>
      <c r="G18" s="34" t="s">
        <v>428</v>
      </c>
      <c r="H18" s="34" t="s">
        <v>441</v>
      </c>
      <c r="I18" s="34" t="s">
        <v>442</v>
      </c>
      <c r="J18" s="34" t="s">
        <v>443</v>
      </c>
      <c r="K18" s="34" t="s">
        <v>444</v>
      </c>
      <c r="L18" s="34" t="s">
        <v>445</v>
      </c>
      <c r="M18" s="35" t="s">
        <v>446</v>
      </c>
    </row>
    <row r="19" spans="5:13" x14ac:dyDescent="0.3">
      <c r="E19" s="29" t="s">
        <v>434</v>
      </c>
      <c r="F19" s="36">
        <v>-148.18856276399686</v>
      </c>
      <c r="G19" s="36">
        <v>143.94399015159905</v>
      </c>
      <c r="H19" s="36">
        <v>-1.029487668140417</v>
      </c>
      <c r="I19" s="36">
        <v>0.30425761488766012</v>
      </c>
      <c r="J19" s="36">
        <v>-431.70276968654099</v>
      </c>
      <c r="K19" s="36">
        <v>135.32564415854728</v>
      </c>
      <c r="L19" s="36">
        <v>-431.70276968654099</v>
      </c>
      <c r="M19" s="30">
        <v>135.32564415854728</v>
      </c>
    </row>
    <row r="20" spans="5:13" x14ac:dyDescent="0.3">
      <c r="E20" s="31">
        <v>3</v>
      </c>
      <c r="F20" s="37">
        <v>353.78860283764737</v>
      </c>
      <c r="G20" s="37">
        <v>43.680727926547888</v>
      </c>
      <c r="H20" s="37">
        <v>8.099420949041118</v>
      </c>
      <c r="I20" s="37">
        <v>2.5391277291093214E-14</v>
      </c>
      <c r="J20" s="37">
        <v>267.75439659637294</v>
      </c>
      <c r="K20" s="37">
        <v>439.82280907892181</v>
      </c>
      <c r="L20" s="37">
        <v>267.75439659637294</v>
      </c>
      <c r="M20" s="32">
        <v>439.82280907892181</v>
      </c>
    </row>
  </sheetData>
  <mergeCells count="1">
    <mergeCell ref="E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6E60F-7CFA-4C37-968C-39462984E287}">
  <sheetPr>
    <outlinePr summaryBelow="0"/>
  </sheetPr>
  <dimension ref="B2:F11"/>
  <sheetViews>
    <sheetView showGridLines="0" workbookViewId="0">
      <selection activeCell="J19" sqref="J19"/>
    </sheetView>
  </sheetViews>
  <sheetFormatPr defaultRowHeight="14.4" outlineLevelRow="1" outlineLevelCol="1" x14ac:dyDescent="0.3"/>
  <cols>
    <col min="3" max="3" width="6" bestFit="1" customWidth="1"/>
    <col min="4" max="6" width="13.109375" customWidth="1" outlineLevel="1"/>
  </cols>
  <sheetData>
    <row r="2" spans="2:6" ht="15.6" x14ac:dyDescent="0.3">
      <c r="B2" s="38" t="s">
        <v>469</v>
      </c>
      <c r="C2" s="38"/>
      <c r="D2" s="39"/>
      <c r="E2" s="39"/>
      <c r="F2" s="39"/>
    </row>
    <row r="3" spans="2:6" ht="15.6" collapsed="1" x14ac:dyDescent="0.3">
      <c r="B3" s="38"/>
      <c r="C3" s="38"/>
      <c r="D3" s="39" t="s">
        <v>471</v>
      </c>
      <c r="E3" s="39" t="s">
        <v>466</v>
      </c>
      <c r="F3" s="39" t="s">
        <v>468</v>
      </c>
    </row>
    <row r="4" spans="2:6" ht="30.6" hidden="1" outlineLevel="1" x14ac:dyDescent="0.3">
      <c r="B4" s="40"/>
      <c r="C4" s="40"/>
      <c r="D4" s="26"/>
      <c r="E4" s="41" t="s">
        <v>467</v>
      </c>
      <c r="F4" s="41" t="s">
        <v>467</v>
      </c>
    </row>
    <row r="5" spans="2:6" x14ac:dyDescent="0.3">
      <c r="B5" s="42" t="s">
        <v>470</v>
      </c>
      <c r="C5" s="42"/>
      <c r="D5" s="26"/>
      <c r="E5" s="26"/>
      <c r="F5" s="26"/>
    </row>
    <row r="6" spans="2:6" outlineLevel="1" x14ac:dyDescent="0.3">
      <c r="B6" s="40"/>
      <c r="C6" s="40" t="s">
        <v>465</v>
      </c>
      <c r="D6" s="26">
        <v>40000</v>
      </c>
      <c r="E6" s="43">
        <v>60000</v>
      </c>
      <c r="F6" s="43">
        <v>40000</v>
      </c>
    </row>
    <row r="7" spans="2:6" x14ac:dyDescent="0.3">
      <c r="B7" s="42" t="s">
        <v>472</v>
      </c>
      <c r="C7" s="42"/>
      <c r="D7" s="26"/>
      <c r="E7" s="26"/>
      <c r="F7" s="26"/>
    </row>
    <row r="8" spans="2:6" outlineLevel="1" x14ac:dyDescent="0.3">
      <c r="B8" s="40"/>
      <c r="C8" s="40" t="s">
        <v>465</v>
      </c>
      <c r="D8" s="26">
        <v>40000</v>
      </c>
      <c r="E8" s="26">
        <v>60000</v>
      </c>
      <c r="F8" s="26">
        <v>40000</v>
      </c>
    </row>
    <row r="9" spans="2:6" x14ac:dyDescent="0.3">
      <c r="B9" t="s">
        <v>473</v>
      </c>
    </row>
    <row r="10" spans="2:6" x14ac:dyDescent="0.3">
      <c r="B10" t="s">
        <v>474</v>
      </c>
    </row>
    <row r="11" spans="2:6" x14ac:dyDescent="0.3">
      <c r="B11" t="s">
        <v>475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7C72-6704-42D4-BBC3-27B9D7032513}">
  <dimension ref="A1:B5"/>
  <sheetViews>
    <sheetView workbookViewId="0">
      <selection activeCell="J26" sqref="J26"/>
    </sheetView>
  </sheetViews>
  <sheetFormatPr defaultRowHeight="14.4" x14ac:dyDescent="0.3"/>
  <cols>
    <col min="1" max="1" width="13.109375" bestFit="1" customWidth="1"/>
    <col min="2" max="2" width="20.44140625" bestFit="1" customWidth="1"/>
  </cols>
  <sheetData>
    <row r="1" spans="1:2" x14ac:dyDescent="0.3">
      <c r="A1" s="4" t="s">
        <v>402</v>
      </c>
      <c r="B1" t="s">
        <v>404</v>
      </c>
    </row>
    <row r="2" spans="1:2" x14ac:dyDescent="0.3">
      <c r="A2" s="5" t="s">
        <v>23</v>
      </c>
      <c r="B2">
        <v>62177.810000000019</v>
      </c>
    </row>
    <row r="3" spans="1:2" x14ac:dyDescent="0.3">
      <c r="A3" s="5" t="s">
        <v>28</v>
      </c>
      <c r="B3">
        <v>84657.12000000001</v>
      </c>
    </row>
    <row r="4" spans="1:2" x14ac:dyDescent="0.3">
      <c r="A4" s="5" t="s">
        <v>37</v>
      </c>
      <c r="B4">
        <v>82357.540000000037</v>
      </c>
    </row>
    <row r="5" spans="1:2" x14ac:dyDescent="0.3">
      <c r="A5" s="5" t="s">
        <v>403</v>
      </c>
      <c r="B5">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7901-BAFA-4058-A30D-0F5902D81137}">
  <dimension ref="A1:B12"/>
  <sheetViews>
    <sheetView topLeftCell="A4" workbookViewId="0">
      <selection activeCell="Q21" sqref="Q21"/>
    </sheetView>
  </sheetViews>
  <sheetFormatPr defaultRowHeight="14.4" x14ac:dyDescent="0.3"/>
  <cols>
    <col min="1" max="1" width="13.109375" bestFit="1" customWidth="1"/>
    <col min="2" max="2" width="20.44140625" bestFit="1" customWidth="1"/>
  </cols>
  <sheetData>
    <row r="1" spans="1:2" x14ac:dyDescent="0.3">
      <c r="A1" s="4" t="s">
        <v>402</v>
      </c>
      <c r="B1" t="s">
        <v>404</v>
      </c>
    </row>
    <row r="2" spans="1:2" x14ac:dyDescent="0.3">
      <c r="A2" s="5" t="s">
        <v>33</v>
      </c>
      <c r="B2">
        <v>5219.1299999999974</v>
      </c>
    </row>
    <row r="3" spans="1:2" x14ac:dyDescent="0.3">
      <c r="A3" s="5" t="s">
        <v>46</v>
      </c>
      <c r="B3">
        <v>15298.979999999994</v>
      </c>
    </row>
    <row r="4" spans="1:2" x14ac:dyDescent="0.3">
      <c r="A4" s="5" t="s">
        <v>116</v>
      </c>
      <c r="B4">
        <v>3119.6099999999992</v>
      </c>
    </row>
    <row r="5" spans="1:2" x14ac:dyDescent="0.3">
      <c r="A5" s="5" t="s">
        <v>107</v>
      </c>
      <c r="B5">
        <v>23399.22</v>
      </c>
    </row>
    <row r="6" spans="1:2" x14ac:dyDescent="0.3">
      <c r="A6" s="5" t="s">
        <v>54</v>
      </c>
      <c r="B6">
        <v>7049.5299999999988</v>
      </c>
    </row>
    <row r="7" spans="1:2" x14ac:dyDescent="0.3">
      <c r="A7" s="5" t="s">
        <v>119</v>
      </c>
      <c r="B7">
        <v>8009.1099999999969</v>
      </c>
    </row>
    <row r="8" spans="1:2" x14ac:dyDescent="0.3">
      <c r="A8" s="5" t="s">
        <v>63</v>
      </c>
      <c r="B8">
        <v>67499.25</v>
      </c>
    </row>
    <row r="9" spans="1:2" x14ac:dyDescent="0.3">
      <c r="A9" s="5" t="s">
        <v>19</v>
      </c>
      <c r="B9">
        <v>21999.119999999999</v>
      </c>
    </row>
    <row r="10" spans="1:2" x14ac:dyDescent="0.3">
      <c r="A10" s="5" t="s">
        <v>128</v>
      </c>
      <c r="B10">
        <v>10399.479999999998</v>
      </c>
    </row>
    <row r="11" spans="1:2" x14ac:dyDescent="0.3">
      <c r="A11" s="5" t="s">
        <v>82</v>
      </c>
      <c r="B11">
        <v>67199.039999999994</v>
      </c>
    </row>
    <row r="12" spans="1:2" x14ac:dyDescent="0.3">
      <c r="A12" s="5" t="s">
        <v>403</v>
      </c>
      <c r="B12">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Instructions</vt:lpstr>
      <vt:lpstr>Dashboard</vt:lpstr>
      <vt:lpstr>Final Project Dataset</vt:lpstr>
      <vt:lpstr>Top 5 customer</vt:lpstr>
      <vt:lpstr>Category</vt:lpstr>
      <vt:lpstr>Date</vt:lpstr>
      <vt:lpstr>Region</vt:lpstr>
      <vt:lpstr>Linear Regression</vt:lpstr>
      <vt:lpstr>Scenario Summary</vt:lpstr>
      <vt:lpstr>Customer_Segment</vt:lpstr>
      <vt:lpstr>Product_Name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Jatin Kumar</cp:lastModifiedBy>
  <dcterms:modified xsi:type="dcterms:W3CDTF">2025-12-17T06:37:07Z</dcterms:modified>
</cp:coreProperties>
</file>